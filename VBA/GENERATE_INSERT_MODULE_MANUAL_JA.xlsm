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7755" yWindow="495" windowWidth="28860" windowHeight="12960"/>
  </bookViews>
  <sheets>
    <sheet name="マニュアル" sheetId="1" r:id="rId1"/>
    <sheet name="_PRESET_DATATYPE_" sheetId="2" r:id="rId2"/>
  </sheets>
  <functionGroups/>
  <calcPr calcId="125725"/>
</workbook>
</file>

<file path=xl/calcChain.xml><?xml version="1.0" encoding="utf-8"?>
<calcChain xmlns="http://schemas.openxmlformats.org/spreadsheetml/2006/main">
  <c r="H139" i="1"/>
  <c r="H138"/>
  <c r="H137"/>
  <c r="H136"/>
  <c r="H135"/>
  <c r="G135"/>
  <c r="F97"/>
  <c r="F93"/>
  <c r="F92"/>
  <c r="F91"/>
  <c r="F90"/>
  <c r="F89"/>
  <c r="F88"/>
  <c r="F87"/>
  <c r="F86"/>
  <c r="F85"/>
  <c r="F84"/>
  <c r="F122"/>
  <c r="F94"/>
  <c r="F95"/>
  <c r="F96"/>
</calcChain>
</file>

<file path=xl/sharedStrings.xml><?xml version="1.0" encoding="utf-8"?>
<sst xmlns="http://schemas.openxmlformats.org/spreadsheetml/2006/main" count="382" uniqueCount="287">
  <si>
    <t>NUMBER</t>
  </si>
  <si>
    <t>ID</t>
    <phoneticPr fontId="1"/>
  </si>
  <si>
    <t>1</t>
    <phoneticPr fontId="1"/>
  </si>
  <si>
    <t>GENERATE INSERT MODULE</t>
    <phoneticPr fontId="1"/>
  </si>
  <si>
    <t>はじめに</t>
    <phoneticPr fontId="1"/>
  </si>
  <si>
    <t>マクロの有効化について</t>
  </si>
  <si>
    <t>下記のような警告が表示されることがあります。</t>
    <rPh sb="0" eb="2">
      <t>カキ</t>
    </rPh>
    <rPh sb="6" eb="8">
      <t>ケイコク</t>
    </rPh>
    <rPh sb="9" eb="11">
      <t>ヒョウジ</t>
    </rPh>
    <phoneticPr fontId="1"/>
  </si>
  <si>
    <t>"Microsoft Excel"をはじめとするスプレッドシートには、セルに対して関数を入力することができます。</t>
    <rPh sb="38" eb="39">
      <t>タイ</t>
    </rPh>
    <rPh sb="41" eb="43">
      <t>カンスウ</t>
    </rPh>
    <rPh sb="44" eb="46">
      <t>ニュウリョク</t>
    </rPh>
    <phoneticPr fontId="1"/>
  </si>
  <si>
    <t>シートの表示形式について</t>
    <rPh sb="4" eb="6">
      <t>ヒョウジ</t>
    </rPh>
    <rPh sb="6" eb="8">
      <t>ケイシキ</t>
    </rPh>
    <phoneticPr fontId="1"/>
  </si>
  <si>
    <t>ブックについて</t>
    <phoneticPr fontId="1"/>
  </si>
  <si>
    <t>マニュアルについて</t>
    <phoneticPr fontId="1"/>
  </si>
  <si>
    <t>"GENERATE INSERT MODULE"(以下、本ソフトウェア)は、INSERT文を生成するためのプログラムです。</t>
    <rPh sb="25" eb="27">
      <t>イカ</t>
    </rPh>
    <rPh sb="44" eb="45">
      <t>ブン</t>
    </rPh>
    <rPh sb="46" eb="48">
      <t>セイセイ</t>
    </rPh>
    <phoneticPr fontId="1"/>
  </si>
  <si>
    <t>なお、本ソフトウェアは"MIT License"をもとにリリースされています。</t>
    <rPh sb="3" eb="4">
      <t>ホン</t>
    </rPh>
    <phoneticPr fontId="1"/>
  </si>
  <si>
    <t>マニュアルの編集を行う場合</t>
    <rPh sb="6" eb="8">
      <t>ヘンシュウ</t>
    </rPh>
    <rPh sb="9" eb="10">
      <t>オコナ</t>
    </rPh>
    <rPh sb="11" eb="13">
      <t>バアイ</t>
    </rPh>
    <phoneticPr fontId="1"/>
  </si>
  <si>
    <t>ユーザー定義関数</t>
    <rPh sb="4" eb="6">
      <t>テイギ</t>
    </rPh>
    <rPh sb="6" eb="8">
      <t>カンスウ</t>
    </rPh>
    <phoneticPr fontId="1"/>
  </si>
  <si>
    <t>機能の呼び出し</t>
    <rPh sb="0" eb="2">
      <t>キノウ</t>
    </rPh>
    <rPh sb="3" eb="4">
      <t>ヨ</t>
    </rPh>
    <rPh sb="5" eb="6">
      <t>ダ</t>
    </rPh>
    <phoneticPr fontId="1"/>
  </si>
  <si>
    <t>本ソフトウェアでは独自の関数を提供し、ユーザーはそれを呼び出すことで機能の利用を行います。</t>
    <rPh sb="0" eb="1">
      <t>ホン</t>
    </rPh>
    <rPh sb="9" eb="11">
      <t>ドクジ</t>
    </rPh>
    <rPh sb="12" eb="14">
      <t>カンスウ</t>
    </rPh>
    <rPh sb="15" eb="17">
      <t>テイキョウ</t>
    </rPh>
    <rPh sb="27" eb="28">
      <t>ヨ</t>
    </rPh>
    <rPh sb="29" eb="30">
      <t>ダ</t>
    </rPh>
    <rPh sb="34" eb="36">
      <t>キノウ</t>
    </rPh>
    <rPh sb="37" eb="39">
      <t>リヨウ</t>
    </rPh>
    <rPh sb="40" eb="41">
      <t>オコナ</t>
    </rPh>
    <phoneticPr fontId="1"/>
  </si>
  <si>
    <t>簡単に使っていただくことを目的とし、それ以外の機能は設けていません。</t>
    <rPh sb="0" eb="2">
      <t>カンタン</t>
    </rPh>
    <rPh sb="3" eb="4">
      <t>ツカ</t>
    </rPh>
    <rPh sb="13" eb="15">
      <t>モクテキ</t>
    </rPh>
    <rPh sb="20" eb="22">
      <t>イガイ</t>
    </rPh>
    <rPh sb="23" eb="25">
      <t>キノウ</t>
    </rPh>
    <rPh sb="26" eb="27">
      <t>モウ</t>
    </rPh>
    <phoneticPr fontId="1"/>
  </si>
  <si>
    <t>引数について</t>
    <rPh sb="0" eb="2">
      <t>ヒキスウ</t>
    </rPh>
    <phoneticPr fontId="1"/>
  </si>
  <si>
    <t>概要</t>
    <rPh sb="0" eb="2">
      <t>ガイヨウ</t>
    </rPh>
    <phoneticPr fontId="1"/>
  </si>
  <si>
    <t>引数の検査について</t>
    <rPh sb="0" eb="2">
      <t>ヒキスウ</t>
    </rPh>
    <rPh sb="3" eb="5">
      <t>ケンサ</t>
    </rPh>
    <phoneticPr fontId="1"/>
  </si>
  <si>
    <t>テーブル名</t>
  </si>
  <si>
    <t>データ型一覧</t>
  </si>
  <si>
    <t>カラム一覧</t>
  </si>
  <si>
    <t>データ一覧</t>
  </si>
  <si>
    <t>改行文字</t>
  </si>
  <si>
    <t>tableName</t>
  </si>
  <si>
    <t>values</t>
  </si>
  <si>
    <t>データのセル範囲を指定します。</t>
    <rPh sb="6" eb="8">
      <t>ハンイ</t>
    </rPh>
    <rPh sb="9" eb="11">
      <t>シテイ</t>
    </rPh>
    <phoneticPr fontId="1"/>
  </si>
  <si>
    <t>改行文字をINSERTする際の改行コードを指定します。</t>
    <rPh sb="0" eb="2">
      <t>カイギョウ</t>
    </rPh>
    <rPh sb="2" eb="4">
      <t>モジ</t>
    </rPh>
    <rPh sb="13" eb="14">
      <t>サイ</t>
    </rPh>
    <rPh sb="15" eb="17">
      <t>カイギョウ</t>
    </rPh>
    <rPh sb="21" eb="23">
      <t>シテイ</t>
    </rPh>
    <phoneticPr fontId="1"/>
  </si>
  <si>
    <t>呼び出し形式</t>
    <rPh sb="0" eb="1">
      <t>ヨ</t>
    </rPh>
    <rPh sb="2" eb="3">
      <t>ダ</t>
    </rPh>
    <rPh sb="4" eb="6">
      <t>ケイシキ</t>
    </rPh>
    <phoneticPr fontId="1"/>
  </si>
  <si>
    <t>引数名</t>
    <rPh sb="0" eb="2">
      <t>ヒキスウ</t>
    </rPh>
    <rPh sb="2" eb="3">
      <t>メイ</t>
    </rPh>
    <phoneticPr fontId="1"/>
  </si>
  <si>
    <t>論理引数名</t>
    <rPh sb="0" eb="2">
      <t>ロンリ</t>
    </rPh>
    <rPh sb="2" eb="4">
      <t>ヒキスウ</t>
    </rPh>
    <rPh sb="4" eb="5">
      <t>メイ</t>
    </rPh>
    <phoneticPr fontId="1"/>
  </si>
  <si>
    <t>説明</t>
    <rPh sb="0" eb="2">
      <t>セツメイ</t>
    </rPh>
    <phoneticPr fontId="1"/>
  </si>
  <si>
    <t>省略可能。NULLの代わりとなる文字列を指定します。</t>
    <rPh sb="0" eb="2">
      <t>ショウリャク</t>
    </rPh>
    <rPh sb="2" eb="4">
      <t>カノウ</t>
    </rPh>
    <rPh sb="10" eb="11">
      <t>カ</t>
    </rPh>
    <rPh sb="16" eb="19">
      <t>モジレツ</t>
    </rPh>
    <rPh sb="20" eb="22">
      <t>シテイ</t>
    </rPh>
    <phoneticPr fontId="1"/>
  </si>
  <si>
    <t>toReplaceNull</t>
    <phoneticPr fontId="1"/>
  </si>
  <si>
    <t>本ソフトウェアが提供するユーザー定義関数では、引数の検査を行っています。</t>
    <rPh sb="0" eb="1">
      <t>ホン</t>
    </rPh>
    <rPh sb="8" eb="10">
      <t>テイキョウ</t>
    </rPh>
    <rPh sb="16" eb="18">
      <t>テイギ</t>
    </rPh>
    <rPh sb="18" eb="20">
      <t>カンスウ</t>
    </rPh>
    <rPh sb="23" eb="25">
      <t>ヒキスウ</t>
    </rPh>
    <rPh sb="26" eb="28">
      <t>ケンサ</t>
    </rPh>
    <rPh sb="29" eb="30">
      <t>オコナ</t>
    </rPh>
    <phoneticPr fontId="1"/>
  </si>
  <si>
    <t>関数に指定した引数が正しいか否かを検査し、誤っていた場合、INSERT文ではなくエラーメッセージを生成します。</t>
    <rPh sb="0" eb="2">
      <t>カンスウ</t>
    </rPh>
    <rPh sb="17" eb="19">
      <t>ケンサ</t>
    </rPh>
    <rPh sb="21" eb="22">
      <t>アヤマ</t>
    </rPh>
    <rPh sb="26" eb="28">
      <t>バアイ</t>
    </rPh>
    <rPh sb="35" eb="36">
      <t>ブン</t>
    </rPh>
    <rPh sb="49" eb="51">
      <t>セイセイ</t>
    </rPh>
    <phoneticPr fontId="1"/>
  </si>
  <si>
    <t>指定したセルの数が同じでない場合</t>
  </si>
  <si>
    <t>誤った改行文字を指定した場合</t>
  </si>
  <si>
    <t>NULLとして扱う文字列</t>
    <phoneticPr fontId="1"/>
  </si>
  <si>
    <t>types</t>
    <phoneticPr fontId="1"/>
  </si>
  <si>
    <t>clmns</t>
    <phoneticPr fontId="1"/>
  </si>
  <si>
    <t>上記のメッセージは、"types"と"clmns"と"values"の引数に指定した範囲内のセルの個数が一致していない場合に表示します。</t>
    <rPh sb="0" eb="2">
      <t>ジョウキ</t>
    </rPh>
    <rPh sb="35" eb="37">
      <t>ヒキスウ</t>
    </rPh>
    <rPh sb="38" eb="40">
      <t>シテイ</t>
    </rPh>
    <rPh sb="42" eb="44">
      <t>ハンイ</t>
    </rPh>
    <rPh sb="44" eb="45">
      <t>ナイ</t>
    </rPh>
    <rPh sb="49" eb="51">
      <t>コスウ</t>
    </rPh>
    <rPh sb="52" eb="54">
      <t>イッチ</t>
    </rPh>
    <rPh sb="59" eb="61">
      <t>バアイ</t>
    </rPh>
    <rPh sb="62" eb="64">
      <t>ヒョウジ</t>
    </rPh>
    <phoneticPr fontId="1"/>
  </si>
  <si>
    <t>データをINSERTするために、これらは互いに対応しなければならないため、指定するセルは同じ個数にしてください。</t>
    <rPh sb="20" eb="21">
      <t>タガ</t>
    </rPh>
    <rPh sb="23" eb="25">
      <t>タイオウ</t>
    </rPh>
    <rPh sb="37" eb="39">
      <t>シテイ</t>
    </rPh>
    <rPh sb="44" eb="45">
      <t>オナ</t>
    </rPh>
    <rPh sb="46" eb="48">
      <t>コスウ</t>
    </rPh>
    <phoneticPr fontId="1"/>
  </si>
  <si>
    <t>lineFeed</t>
    <phoneticPr fontId="1"/>
  </si>
  <si>
    <t>上記のメッセージは、"lineFeed"の引数に"CRLF"と"CR"と"LF"以外の改行文字を指定した場合に表示します。</t>
    <rPh sb="0" eb="2">
      <t>ジョウキ</t>
    </rPh>
    <rPh sb="21" eb="23">
      <t>ヒキスウ</t>
    </rPh>
    <rPh sb="40" eb="42">
      <t>イガイ</t>
    </rPh>
    <rPh sb="43" eb="45">
      <t>カイギョウ</t>
    </rPh>
    <rPh sb="45" eb="47">
      <t>モジ</t>
    </rPh>
    <rPh sb="48" eb="50">
      <t>シテイ</t>
    </rPh>
    <rPh sb="52" eb="54">
      <t>バアイ</t>
    </rPh>
    <rPh sb="55" eb="57">
      <t>ヒョウジ</t>
    </rPh>
    <phoneticPr fontId="1"/>
  </si>
  <si>
    <t>注意事項</t>
    <rPh sb="0" eb="2">
      <t>チュウイ</t>
    </rPh>
    <rPh sb="2" eb="4">
      <t>ジコウ</t>
    </rPh>
    <phoneticPr fontId="1"/>
  </si>
  <si>
    <t>関数を入力する場合は、そのセルの書式を"標準"にしてください。</t>
    <rPh sb="0" eb="2">
      <t>カンスウ</t>
    </rPh>
    <rPh sb="3" eb="5">
      <t>ニュウリョク</t>
    </rPh>
    <rPh sb="7" eb="9">
      <t>バアイ</t>
    </rPh>
    <rPh sb="16" eb="18">
      <t>ショシキ</t>
    </rPh>
    <rPh sb="20" eb="22">
      <t>ヒョウジュン</t>
    </rPh>
    <phoneticPr fontId="1"/>
  </si>
  <si>
    <t>"toReplaceNull"を省略した場合、空白のセルのデータをNULLとして、INSERT文の生成を行います。</t>
    <rPh sb="16" eb="18">
      <t>ショウリャク</t>
    </rPh>
    <rPh sb="20" eb="22">
      <t>バアイ</t>
    </rPh>
    <rPh sb="23" eb="25">
      <t>クウハク</t>
    </rPh>
    <rPh sb="47" eb="48">
      <t>ブン</t>
    </rPh>
    <rPh sb="49" eb="51">
      <t>セイセイ</t>
    </rPh>
    <rPh sb="52" eb="53">
      <t>オコナ</t>
    </rPh>
    <phoneticPr fontId="1"/>
  </si>
  <si>
    <t>注意事項</t>
    <rPh sb="0" eb="2">
      <t>チュウイ</t>
    </rPh>
    <rPh sb="2" eb="4">
      <t>ジコウ</t>
    </rPh>
    <phoneticPr fontId="1"/>
  </si>
  <si>
    <t>指定した引数からINSERT文を生成します（Oracle Database 用）。</t>
    <rPh sb="38" eb="39">
      <t>ヨウ</t>
    </rPh>
    <phoneticPr fontId="1"/>
  </si>
  <si>
    <t>NULL</t>
  </si>
  <si>
    <t>参考資料</t>
    <rPh sb="0" eb="2">
      <t>サンコウ</t>
    </rPh>
    <rPh sb="2" eb="4">
      <t>シリョウ</t>
    </rPh>
    <phoneticPr fontId="1"/>
  </si>
  <si>
    <t>リテラル</t>
  </si>
  <si>
    <t>https://docs.oracle.com/cd/E49329_01/server.121/b71278/sql_elements003.htm</t>
  </si>
  <si>
    <t>データ型</t>
  </si>
  <si>
    <t>https://docs.oracle.com/cd/E49329_01/server.121/b71278/sql_elements001.htm</t>
  </si>
  <si>
    <t>変換仕様</t>
    <rPh sb="0" eb="2">
      <t>ヘンカン</t>
    </rPh>
    <rPh sb="2" eb="4">
      <t>シヨウ</t>
    </rPh>
    <phoneticPr fontId="1"/>
  </si>
  <si>
    <t>Oracle Database 12c</t>
    <phoneticPr fontId="1"/>
  </si>
  <si>
    <t>Oracle Database 11g</t>
    <phoneticPr fontId="1"/>
  </si>
  <si>
    <t>しかし、そのような仕様がこれからも続くことをOracle社は保証していません。</t>
    <rPh sb="9" eb="11">
      <t>シヨウ</t>
    </rPh>
    <rPh sb="17" eb="18">
      <t>ツヅ</t>
    </rPh>
    <rPh sb="28" eb="29">
      <t>シャ</t>
    </rPh>
    <rPh sb="30" eb="32">
      <t>ホショウ</t>
    </rPh>
    <phoneticPr fontId="1"/>
  </si>
  <si>
    <t>Oracle Databaseでは長さが0(ゼロ)の文字値をNULLとして処理します（Oracle Database 12c時点）。</t>
    <phoneticPr fontId="1"/>
  </si>
  <si>
    <t>https://docs.oracle.com/cd/E49329_01/server.121/b71278/sql_elements005.htm</t>
    <phoneticPr fontId="1"/>
  </si>
  <si>
    <t>変換しません。</t>
  </si>
  <si>
    <t>TO_DATE関数を生成します。</t>
  </si>
  <si>
    <t>TO_TIMESTAMP関数を生成します。</t>
  </si>
  <si>
    <t>HEXTORAW関数を生成します。</t>
  </si>
  <si>
    <t>第一引数</t>
    <phoneticPr fontId="1"/>
  </si>
  <si>
    <t>第二引数</t>
    <phoneticPr fontId="1"/>
  </si>
  <si>
    <t>シングルクォートで括った文字列を生成します。</t>
    <rPh sb="12" eb="15">
      <t>モジレツ</t>
    </rPh>
    <rPh sb="16" eb="18">
      <t>セイセイ</t>
    </rPh>
    <phoneticPr fontId="1"/>
  </si>
  <si>
    <t>置換前</t>
    <rPh sb="0" eb="2">
      <t>チカン</t>
    </rPh>
    <rPh sb="2" eb="3">
      <t>マエ</t>
    </rPh>
    <phoneticPr fontId="1"/>
  </si>
  <si>
    <t>置換後</t>
    <rPh sb="0" eb="2">
      <t>チカン</t>
    </rPh>
    <rPh sb="2" eb="3">
      <t>ゴ</t>
    </rPh>
    <phoneticPr fontId="1"/>
  </si>
  <si>
    <t>置換条件</t>
    <rPh sb="0" eb="2">
      <t>チカン</t>
    </rPh>
    <rPh sb="2" eb="4">
      <t>ジョウケン</t>
    </rPh>
    <phoneticPr fontId="1"/>
  </si>
  <si>
    <t>VALUES句の引数を生成する際には、事前にデータの変換を行い、データ型ごとの書式に合わせた文字列を生成します。</t>
    <rPh sb="35" eb="36">
      <t>ガタ</t>
    </rPh>
    <phoneticPr fontId="1"/>
  </si>
  <si>
    <t>例えば、データ型が文字列型ならデータをシングルクォートで括るなどの処理を行います。</t>
    <rPh sb="0" eb="1">
      <t>タト</t>
    </rPh>
    <rPh sb="7" eb="8">
      <t>ガタ</t>
    </rPh>
    <rPh sb="9" eb="13">
      <t>モジレツガタ</t>
    </rPh>
    <rPh sb="28" eb="29">
      <t>クク</t>
    </rPh>
    <rPh sb="33" eb="35">
      <t>ショリ</t>
    </rPh>
    <rPh sb="36" eb="37">
      <t>オコナ</t>
    </rPh>
    <phoneticPr fontId="1"/>
  </si>
  <si>
    <t>データ型にコロンを付けることによって、書式を設定することができます。これは省略可能です。</t>
    <phoneticPr fontId="1"/>
  </si>
  <si>
    <t>また、下記のようなINSERTが行えない文字列に対し、INSERT可能な文字列へ置換をします。</t>
    <rPh sb="3" eb="5">
      <t>カキ</t>
    </rPh>
    <rPh sb="16" eb="17">
      <t>オコナ</t>
    </rPh>
    <rPh sb="20" eb="23">
      <t>モジレツ</t>
    </rPh>
    <rPh sb="24" eb="25">
      <t>タイ</t>
    </rPh>
    <rPh sb="33" eb="35">
      <t>カノウ</t>
    </rPh>
    <rPh sb="36" eb="39">
      <t>モジレツ</t>
    </rPh>
    <rPh sb="40" eb="42">
      <t>チカン</t>
    </rPh>
    <phoneticPr fontId="1"/>
  </si>
  <si>
    <t>変換に対応しているデータ型について</t>
  </si>
  <si>
    <t>xmltype('&lt;?xml version="1.0"?&gt;&lt;Test&gt;&lt;/Test&gt;')</t>
  </si>
  <si>
    <t>XMLTYPE</t>
    <phoneticPr fontId="1"/>
  </si>
  <si>
    <t>NUMBER</t>
    <phoneticPr fontId="1"/>
  </si>
  <si>
    <t>TEST_XML</t>
    <phoneticPr fontId="1"/>
  </si>
  <si>
    <t>改行文字はこの3つしか存在しないため、お使いのOSやシステムに合致するいずれかの改行文字を指定してください。</t>
    <rPh sb="0" eb="2">
      <t>カイギョウ</t>
    </rPh>
    <rPh sb="2" eb="4">
      <t>モジ</t>
    </rPh>
    <rPh sb="11" eb="13">
      <t>ソンザイ</t>
    </rPh>
    <rPh sb="20" eb="21">
      <t>ツカ</t>
    </rPh>
    <rPh sb="31" eb="33">
      <t>ガッチ</t>
    </rPh>
    <rPh sb="40" eb="42">
      <t>カイギョウ</t>
    </rPh>
    <rPh sb="42" eb="44">
      <t>モジ</t>
    </rPh>
    <rPh sb="45" eb="47">
      <t>シテイ</t>
    </rPh>
    <phoneticPr fontId="1"/>
  </si>
  <si>
    <t>したがって、"(NULL)"等の文字列を"toReplaceNull"へ指定して利用することを推奨します。</t>
    <rPh sb="14" eb="15">
      <t>トウ</t>
    </rPh>
    <rPh sb="16" eb="19">
      <t>モジレツ</t>
    </rPh>
    <rPh sb="36" eb="38">
      <t>シテイ</t>
    </rPh>
    <rPh sb="40" eb="42">
      <t>リヨウ</t>
    </rPh>
    <rPh sb="47" eb="49">
      <t>スイショウ</t>
    </rPh>
    <phoneticPr fontId="1"/>
  </si>
  <si>
    <t>期間データ型とBFILE型を除くOracle組込みデータ型に対応しています。</t>
    <phoneticPr fontId="1"/>
  </si>
  <si>
    <t>XMLTYPE型等には対応していませんが、下記のようにセルへ直接入力することでINSERTが可能です。</t>
    <rPh sb="21" eb="23">
      <t>カキ</t>
    </rPh>
    <phoneticPr fontId="1"/>
  </si>
  <si>
    <r>
      <t>ここでは、"types"に指定したセル範囲のそれぞれの値を</t>
    </r>
    <r>
      <rPr>
        <b/>
        <sz val="11"/>
        <color theme="1"/>
        <rFont val="游ゴシック"/>
        <family val="3"/>
        <charset val="128"/>
      </rPr>
      <t>データ型</t>
    </r>
    <r>
      <rPr>
        <sz val="11"/>
        <color theme="1"/>
        <rFont val="游ゴシック"/>
        <family val="3"/>
        <charset val="128"/>
      </rPr>
      <t>とし、"values"に指定したセル範囲のそれぞれの値を</t>
    </r>
    <r>
      <rPr>
        <b/>
        <sz val="11"/>
        <color theme="1"/>
        <rFont val="游ゴシック"/>
        <family val="3"/>
        <charset val="128"/>
      </rPr>
      <t>データ</t>
    </r>
    <r>
      <rPr>
        <sz val="11"/>
        <color theme="1"/>
        <rFont val="游ゴシック"/>
        <family val="3"/>
        <charset val="128"/>
      </rPr>
      <t>とします。</t>
    </r>
    <rPh sb="45" eb="47">
      <t>シテイ</t>
    </rPh>
    <rPh sb="51" eb="53">
      <t>ハンイ</t>
    </rPh>
    <rPh sb="59" eb="60">
      <t>アタイ</t>
    </rPh>
    <phoneticPr fontId="1"/>
  </si>
  <si>
    <r>
      <rPr>
        <b/>
        <sz val="11"/>
        <color theme="1"/>
        <rFont val="游ゴシック"/>
        <family val="3"/>
        <charset val="128"/>
      </rPr>
      <t>=INSERT_ORCL</t>
    </r>
    <r>
      <rPr>
        <i/>
        <sz val="11"/>
        <color theme="1"/>
        <rFont val="游ゴシック"/>
        <family val="3"/>
        <charset val="128"/>
      </rPr>
      <t>(tableName, types, clmns, values, lineFeed[, toReplaceNull])</t>
    </r>
    <phoneticPr fontId="1"/>
  </si>
  <si>
    <t>TEST_TABLE</t>
    <phoneticPr fontId="1"/>
  </si>
  <si>
    <t>使用例</t>
    <rPh sb="0" eb="2">
      <t>シヨウ</t>
    </rPh>
    <rPh sb="2" eb="3">
      <t>レイ</t>
    </rPh>
    <phoneticPr fontId="1"/>
  </si>
  <si>
    <t>機能の範疇</t>
    <rPh sb="0" eb="2">
      <t>キノウ</t>
    </rPh>
    <rPh sb="3" eb="5">
      <t>ハンチュウ</t>
    </rPh>
    <phoneticPr fontId="1"/>
  </si>
  <si>
    <t>本ソフトウェアはINSERT文を生成することができますが、値の検証までは行いません。</t>
    <rPh sb="0" eb="1">
      <t>ホン</t>
    </rPh>
    <rPh sb="14" eb="15">
      <t>ブン</t>
    </rPh>
    <rPh sb="16" eb="18">
      <t>セイセイ</t>
    </rPh>
    <rPh sb="29" eb="30">
      <t>アタイ</t>
    </rPh>
    <rPh sb="31" eb="33">
      <t>ケンショウ</t>
    </rPh>
    <rPh sb="36" eb="37">
      <t>オコナ</t>
    </rPh>
    <phoneticPr fontId="1"/>
  </si>
  <si>
    <t>使用について</t>
    <rPh sb="0" eb="2">
      <t>シヨウ</t>
    </rPh>
    <phoneticPr fontId="1"/>
  </si>
  <si>
    <t>例えば、8バイトまでしか格納できないカラムに対して、9バイトのデータをINSERTするとエラーが発生しますが、</t>
    <rPh sb="0" eb="1">
      <t>タト</t>
    </rPh>
    <rPh sb="12" eb="14">
      <t>カクノウ</t>
    </rPh>
    <rPh sb="22" eb="23">
      <t>タイ</t>
    </rPh>
    <rPh sb="48" eb="50">
      <t>ハッセイ</t>
    </rPh>
    <phoneticPr fontId="1"/>
  </si>
  <si>
    <t>本ソフトウェアでは、そのようなカラムに対しても9バイト以上のデータを作り出すことができます。</t>
    <rPh sb="0" eb="1">
      <t>ホン</t>
    </rPh>
    <rPh sb="19" eb="20">
      <t>タイ</t>
    </rPh>
    <rPh sb="27" eb="29">
      <t>イジョウ</t>
    </rPh>
    <rPh sb="34" eb="35">
      <t>ツク</t>
    </rPh>
    <rPh sb="36" eb="37">
      <t>ダ</t>
    </rPh>
    <phoneticPr fontId="1"/>
  </si>
  <si>
    <t>あらかじめご了承ください。</t>
    <rPh sb="6" eb="8">
      <t>リョウショウ</t>
    </rPh>
    <phoneticPr fontId="1"/>
  </si>
  <si>
    <t>-</t>
    <phoneticPr fontId="1"/>
  </si>
  <si>
    <t>本マニュアルは本ソフトウェアの一部とみなし、本ソフトウェアに従います。</t>
    <rPh sb="0" eb="1">
      <t>ホン</t>
    </rPh>
    <rPh sb="15" eb="17">
      <t>イチブ</t>
    </rPh>
    <rPh sb="22" eb="23">
      <t>ホン</t>
    </rPh>
    <rPh sb="30" eb="31">
      <t>シタガ</t>
    </rPh>
    <phoneticPr fontId="1"/>
  </si>
  <si>
    <t>VARCHAR2</t>
  </si>
  <si>
    <t>商用利用や二次利用、免責事項等について</t>
    <rPh sb="10" eb="14">
      <t>メンセキジコウ</t>
    </rPh>
    <rPh sb="14" eb="15">
      <t>トウ</t>
    </rPh>
    <phoneticPr fontId="1"/>
  </si>
  <si>
    <t>INSERT_ORCL関数</t>
    <phoneticPr fontId="1"/>
  </si>
  <si>
    <t>CLERK</t>
    <phoneticPr fontId="1"/>
  </si>
  <si>
    <t>KING</t>
    <phoneticPr fontId="1"/>
  </si>
  <si>
    <t>(NULL)</t>
  </si>
  <si>
    <t>(NULL)</t>
    <phoneticPr fontId="1"/>
  </si>
  <si>
    <t>5000.00</t>
    <phoneticPr fontId="1"/>
  </si>
  <si>
    <t>800.00</t>
    <phoneticPr fontId="1"/>
  </si>
  <si>
    <t>1600.00</t>
    <phoneticPr fontId="1"/>
  </si>
  <si>
    <t>EMP</t>
    <phoneticPr fontId="1"/>
  </si>
  <si>
    <t>1981-02-20</t>
  </si>
  <si>
    <t>1981-02-22</t>
  </si>
  <si>
    <t>1981-04-02</t>
  </si>
  <si>
    <t>1981-09-28</t>
  </si>
  <si>
    <t>1981-05-01</t>
  </si>
  <si>
    <t>1981-06-09</t>
  </si>
  <si>
    <t>1987-04-19</t>
  </si>
  <si>
    <t>1981-11-17</t>
  </si>
  <si>
    <t>1981-09-08</t>
  </si>
  <si>
    <t>1987-05-23</t>
  </si>
  <si>
    <t>1981-12-03</t>
  </si>
  <si>
    <t>1982-01-23</t>
  </si>
  <si>
    <t>SCOTT</t>
    <phoneticPr fontId="1"/>
  </si>
  <si>
    <t>ADAMS</t>
    <phoneticPr fontId="1"/>
  </si>
  <si>
    <t>500.00</t>
    <phoneticPr fontId="1"/>
  </si>
  <si>
    <t>0.00</t>
    <phoneticPr fontId="1"/>
  </si>
  <si>
    <t>30</t>
    <phoneticPr fontId="1"/>
  </si>
  <si>
    <t>7902</t>
    <phoneticPr fontId="1"/>
  </si>
  <si>
    <t>7698</t>
    <phoneticPr fontId="1"/>
  </si>
  <si>
    <t>7839</t>
    <phoneticPr fontId="1"/>
  </si>
  <si>
    <t>7566</t>
    <phoneticPr fontId="1"/>
  </si>
  <si>
    <t>7788</t>
    <phoneticPr fontId="1"/>
  </si>
  <si>
    <t>7782</t>
    <phoneticPr fontId="1"/>
  </si>
  <si>
    <t>1980-12-17</t>
    <phoneticPr fontId="1"/>
  </si>
  <si>
    <t>SALESMAN</t>
    <phoneticPr fontId="1"/>
  </si>
  <si>
    <t>MANAGER</t>
    <phoneticPr fontId="1"/>
  </si>
  <si>
    <t>ANALYST</t>
    <phoneticPr fontId="1"/>
  </si>
  <si>
    <t>PRESIDENT</t>
    <phoneticPr fontId="1"/>
  </si>
  <si>
    <t>CLARK</t>
    <phoneticPr fontId="1"/>
  </si>
  <si>
    <t>SMITH</t>
    <phoneticPr fontId="1"/>
  </si>
  <si>
    <t>ALLEN</t>
    <phoneticPr fontId="1"/>
  </si>
  <si>
    <t>WARD</t>
    <phoneticPr fontId="1"/>
  </si>
  <si>
    <t>JONES</t>
    <phoneticPr fontId="1"/>
  </si>
  <si>
    <t>MARTIN</t>
    <phoneticPr fontId="1"/>
  </si>
  <si>
    <t>BLAKE</t>
    <phoneticPr fontId="1"/>
  </si>
  <si>
    <t>TURNER</t>
    <phoneticPr fontId="1"/>
  </si>
  <si>
    <t>JAMES</t>
    <phoneticPr fontId="1"/>
  </si>
  <si>
    <t>FORD</t>
    <phoneticPr fontId="1"/>
  </si>
  <si>
    <t>MILLER</t>
    <phoneticPr fontId="1"/>
  </si>
  <si>
    <t>7369</t>
    <phoneticPr fontId="1"/>
  </si>
  <si>
    <t>7499</t>
    <phoneticPr fontId="1"/>
  </si>
  <si>
    <t>7521</t>
    <phoneticPr fontId="1"/>
  </si>
  <si>
    <t>7654</t>
    <phoneticPr fontId="1"/>
  </si>
  <si>
    <t>7844</t>
    <phoneticPr fontId="1"/>
  </si>
  <si>
    <t>7876</t>
    <phoneticPr fontId="1"/>
  </si>
  <si>
    <t>7900</t>
    <phoneticPr fontId="1"/>
  </si>
  <si>
    <t>7934</t>
    <phoneticPr fontId="1"/>
  </si>
  <si>
    <t>1250.00</t>
    <phoneticPr fontId="1"/>
  </si>
  <si>
    <t>2975.00</t>
    <phoneticPr fontId="1"/>
  </si>
  <si>
    <t>2850.00</t>
    <phoneticPr fontId="1"/>
  </si>
  <si>
    <t>2450.00</t>
    <phoneticPr fontId="1"/>
  </si>
  <si>
    <t>3000.00</t>
    <phoneticPr fontId="1"/>
  </si>
  <si>
    <t>1500.00</t>
    <phoneticPr fontId="1"/>
  </si>
  <si>
    <t>1100.00</t>
    <phoneticPr fontId="1"/>
  </si>
  <si>
    <t>950.00</t>
    <phoneticPr fontId="1"/>
  </si>
  <si>
    <t>1300.00</t>
    <phoneticPr fontId="1"/>
  </si>
  <si>
    <t>300.00</t>
    <phoneticPr fontId="1"/>
  </si>
  <si>
    <t>1400.00</t>
    <phoneticPr fontId="1"/>
  </si>
  <si>
    <t>20</t>
    <phoneticPr fontId="1"/>
  </si>
  <si>
    <t>10</t>
    <phoneticPr fontId="1"/>
  </si>
  <si>
    <t>DATE:YYYY-MM-DD</t>
    <phoneticPr fontId="1"/>
  </si>
  <si>
    <t>セル内の改行コード</t>
    <rPh sb="2" eb="3">
      <t>ナイ</t>
    </rPh>
    <rPh sb="4" eb="6">
      <t>カイギョウ</t>
    </rPh>
    <phoneticPr fontId="1"/>
  </si>
  <si>
    <t>セル内の改行コード</t>
    <phoneticPr fontId="1"/>
  </si>
  <si>
    <t>セル内のタブコード</t>
    <rPh sb="2" eb="3">
      <t>ナイ</t>
    </rPh>
    <phoneticPr fontId="1"/>
  </si>
  <si>
    <t>"toReplaceNull"に"CRLF"指定時</t>
    <phoneticPr fontId="1"/>
  </si>
  <si>
    <t>"toReplaceNull"に"LF"指定時</t>
    <phoneticPr fontId="1"/>
  </si>
  <si>
    <t>"toReplaceNull"に"CR"指定時</t>
    <phoneticPr fontId="1"/>
  </si>
  <si>
    <t>上記の表に対し、INSERT_ORCL関数を用いて作成したINSERT文は下記です。</t>
    <rPh sb="0" eb="2">
      <t>ジョウキ</t>
    </rPh>
    <rPh sb="3" eb="4">
      <t>ヒョウ</t>
    </rPh>
    <rPh sb="5" eb="6">
      <t>タイ</t>
    </rPh>
    <rPh sb="19" eb="21">
      <t>カンスウ</t>
    </rPh>
    <rPh sb="22" eb="23">
      <t>モチ</t>
    </rPh>
    <rPh sb="25" eb="27">
      <t>サクセイ</t>
    </rPh>
    <rPh sb="35" eb="36">
      <t>ブン</t>
    </rPh>
    <rPh sb="37" eb="39">
      <t>カキ</t>
    </rPh>
    <phoneticPr fontId="1"/>
  </si>
  <si>
    <t>下記にEMP表があります。このテーブルからINSERT文を作ってみます。</t>
    <rPh sb="0" eb="2">
      <t>カキ</t>
    </rPh>
    <rPh sb="6" eb="7">
      <t>ヒョウ</t>
    </rPh>
    <phoneticPr fontId="1"/>
  </si>
  <si>
    <t>EMPNO</t>
    <phoneticPr fontId="1"/>
  </si>
  <si>
    <t>ENAME</t>
    <phoneticPr fontId="1"/>
  </si>
  <si>
    <t>JOB</t>
    <phoneticPr fontId="1"/>
  </si>
  <si>
    <t>MGR</t>
    <phoneticPr fontId="1"/>
  </si>
  <si>
    <t>HIREDATE</t>
    <phoneticPr fontId="1"/>
  </si>
  <si>
    <t>SAL</t>
    <phoneticPr fontId="1"/>
  </si>
  <si>
    <t>COMM</t>
    <phoneticPr fontId="1"/>
  </si>
  <si>
    <t>DEPTNO</t>
    <phoneticPr fontId="1"/>
  </si>
  <si>
    <t>データ型のセル範囲を指定します。範囲は絶対参照としてください。</t>
    <rPh sb="3" eb="4">
      <t>ガタ</t>
    </rPh>
    <rPh sb="7" eb="9">
      <t>ハンイ</t>
    </rPh>
    <rPh sb="10" eb="12">
      <t>シテイ</t>
    </rPh>
    <rPh sb="16" eb="18">
      <t>ハンイ</t>
    </rPh>
    <rPh sb="19" eb="21">
      <t>ゼッタイ</t>
    </rPh>
    <rPh sb="21" eb="23">
      <t>サンショウ</t>
    </rPh>
    <phoneticPr fontId="1"/>
  </si>
  <si>
    <t>テーブル名を指定します。</t>
    <rPh sb="4" eb="5">
      <t>メイ</t>
    </rPh>
    <rPh sb="6" eb="8">
      <t>シテイ</t>
    </rPh>
    <phoneticPr fontId="1"/>
  </si>
  <si>
    <t>カラムのセル範囲を指定します。範囲は絶対参照としてください。</t>
    <rPh sb="6" eb="8">
      <t>ハンイ</t>
    </rPh>
    <rPh sb="9" eb="11">
      <t>シテイ</t>
    </rPh>
    <phoneticPr fontId="1"/>
  </si>
  <si>
    <t>数値型(NUMBER, BINARY_FLOAT, BINARY_DOUBLE)</t>
    <phoneticPr fontId="1"/>
  </si>
  <si>
    <t>日付型(DATE)</t>
    <phoneticPr fontId="1"/>
  </si>
  <si>
    <t>時刻型(TIMESTAMP)</t>
    <phoneticPr fontId="1"/>
  </si>
  <si>
    <t>バイナリ型・ラージオブジェクト型（RAW, LONG RAW, BLOB, CLOB, NCLOB）</t>
    <phoneticPr fontId="1"/>
  </si>
  <si>
    <t>その他</t>
    <phoneticPr fontId="1"/>
  </si>
  <si>
    <t>文字列型(CHAR, LONG, NCHAR, NVARCHAR2, VARCHAR2)</t>
    <phoneticPr fontId="1"/>
  </si>
  <si>
    <t>文字列の置換</t>
    <rPh sb="0" eb="3">
      <t>モジレツ</t>
    </rPh>
    <rPh sb="4" eb="6">
      <t>チカン</t>
    </rPh>
    <phoneticPr fontId="1"/>
  </si>
  <si>
    <t>上記の表から作成したINSERT文は下記です。</t>
    <rPh sb="0" eb="2">
      <t>ジョウキ</t>
    </rPh>
    <rPh sb="3" eb="4">
      <t>ヒョウ</t>
    </rPh>
    <rPh sb="6" eb="8">
      <t>サクセイ</t>
    </rPh>
    <rPh sb="16" eb="17">
      <t>ブン</t>
    </rPh>
    <rPh sb="18" eb="20">
      <t>カキ</t>
    </rPh>
    <phoneticPr fontId="1"/>
  </si>
  <si>
    <t>データをシングルクォートで括った文字列</t>
    <rPh sb="13" eb="14">
      <t>クク</t>
    </rPh>
    <rPh sb="16" eb="19">
      <t>モジレツ</t>
    </rPh>
    <phoneticPr fontId="1"/>
  </si>
  <si>
    <t>コロンがない場合は省略。コロンより先に指定した書式をシングルクォートで括った文字列</t>
    <rPh sb="23" eb="25">
      <t>ショシキ</t>
    </rPh>
    <phoneticPr fontId="1"/>
  </si>
  <si>
    <t>引数</t>
    <rPh sb="0" eb="2">
      <t>ヒキスウ</t>
    </rPh>
    <phoneticPr fontId="1"/>
  </si>
  <si>
    <t>第二引数</t>
    <phoneticPr fontId="1"/>
  </si>
  <si>
    <t>想定しているDBMS</t>
    <rPh sb="0" eb="2">
      <t>ソウテイ</t>
    </rPh>
    <phoneticPr fontId="1"/>
  </si>
  <si>
    <t>関数を入力しているセル以外は、一部を除いて"文字列"で統一しています。</t>
    <rPh sb="0" eb="2">
      <t>カンスウ</t>
    </rPh>
    <rPh sb="3" eb="5">
      <t>ニュウリョク</t>
    </rPh>
    <rPh sb="11" eb="13">
      <t>イガイ</t>
    </rPh>
    <rPh sb="15" eb="17">
      <t>イチブ</t>
    </rPh>
    <rPh sb="18" eb="19">
      <t>ノゾ</t>
    </rPh>
    <rPh sb="22" eb="25">
      <t>モジレツ</t>
    </rPh>
    <rPh sb="27" eb="29">
      <t>トウイツ</t>
    </rPh>
    <phoneticPr fontId="1"/>
  </si>
  <si>
    <t>マニュアルの作成者が意図した通りの表記で閲覧者に見せるためで、セルの書式が自動的に変わってしまうことを防いでいます。</t>
    <rPh sb="14" eb="15">
      <t>トオ</t>
    </rPh>
    <rPh sb="20" eb="23">
      <t>エツランシャ</t>
    </rPh>
    <rPh sb="24" eb="25">
      <t>ミ</t>
    </rPh>
    <rPh sb="34" eb="36">
      <t>ショシキ</t>
    </rPh>
    <rPh sb="37" eb="40">
      <t>ジドウテキ</t>
    </rPh>
    <rPh sb="41" eb="42">
      <t>カ</t>
    </rPh>
    <rPh sb="51" eb="52">
      <t>フセ</t>
    </rPh>
    <phoneticPr fontId="1"/>
  </si>
  <si>
    <t>"Microsoft Excel"では"ユーザー定義関数"と呼ばれます。</t>
    <rPh sb="24" eb="26">
      <t>テイギ</t>
    </rPh>
    <rPh sb="26" eb="28">
      <t>カンスウ</t>
    </rPh>
    <rPh sb="30" eb="31">
      <t>ヨ</t>
    </rPh>
    <phoneticPr fontId="1"/>
  </si>
  <si>
    <t>マニュアル 兼 詳細設計書</t>
    <rPh sb="6" eb="7">
      <t>ケン</t>
    </rPh>
    <rPh sb="8" eb="10">
      <t>ショウサイ</t>
    </rPh>
    <rPh sb="10" eb="13">
      <t>セッケイショ</t>
    </rPh>
    <phoneticPr fontId="1"/>
  </si>
  <si>
    <t>このマニュアル 兼 詳細設計書(以下、本マニュアル)では、本ソフトウェアの仕様について記載します。</t>
    <rPh sb="16" eb="18">
      <t>イカ</t>
    </rPh>
    <rPh sb="19" eb="20">
      <t>ホン</t>
    </rPh>
    <rPh sb="37" eb="39">
      <t>シヨウ</t>
    </rPh>
    <rPh sb="43" eb="45">
      <t>キサイ</t>
    </rPh>
    <phoneticPr fontId="1"/>
  </si>
  <si>
    <t>改訂履歴</t>
    <rPh sb="0" eb="4">
      <t>カイテイリレキ</t>
    </rPh>
    <phoneticPr fontId="1"/>
  </si>
  <si>
    <t>2018/07/22</t>
    <phoneticPr fontId="1"/>
  </si>
  <si>
    <t>新規作成。</t>
    <rPh sb="0" eb="2">
      <t>シンキ</t>
    </rPh>
    <rPh sb="2" eb="4">
      <t>サクセイ</t>
    </rPh>
    <phoneticPr fontId="1"/>
  </si>
  <si>
    <t>--ARGUMENTS ERROR: The number of data types, columns, values must match.</t>
    <phoneticPr fontId="1"/>
  </si>
  <si>
    <t>--ARGUMENTS ERROR: Please specify either 'CRLF' 'CR' 'LF' for the line feed code.</t>
    <phoneticPr fontId="1"/>
  </si>
  <si>
    <t>使用例を載せているので、</t>
    <rPh sb="0" eb="2">
      <t>シヨウ</t>
    </rPh>
    <rPh sb="2" eb="3">
      <t>レイ</t>
    </rPh>
    <rPh sb="4" eb="5">
      <t>ノ</t>
    </rPh>
    <phoneticPr fontId="1"/>
  </si>
  <si>
    <t>2018/07/23</t>
    <phoneticPr fontId="1"/>
  </si>
  <si>
    <t>無効になっている状態で閲覧すると、使用例が記載されている箇所に"#NAME?"と表示されます。</t>
    <rPh sb="0" eb="2">
      <t>ムコウ</t>
    </rPh>
    <rPh sb="8" eb="10">
      <t>ジョウタイ</t>
    </rPh>
    <rPh sb="11" eb="13">
      <t>エツラン</t>
    </rPh>
    <rPh sb="17" eb="19">
      <t>シヨウ</t>
    </rPh>
    <rPh sb="19" eb="20">
      <t>レイ</t>
    </rPh>
    <rPh sb="21" eb="23">
      <t>キサイ</t>
    </rPh>
    <rPh sb="28" eb="30">
      <t>カショ</t>
    </rPh>
    <phoneticPr fontId="1"/>
  </si>
  <si>
    <t>もし使用例を閲覧できなくてもよいのであれば、マクロを有効にする必要はありません。</t>
    <rPh sb="2" eb="4">
      <t>シヨウ</t>
    </rPh>
    <rPh sb="4" eb="5">
      <t>レイ</t>
    </rPh>
    <rPh sb="6" eb="8">
      <t>エツラン</t>
    </rPh>
    <rPh sb="26" eb="28">
      <t>ユウコウ</t>
    </rPh>
    <rPh sb="31" eb="33">
      <t>ヒツヨウ</t>
    </rPh>
    <phoneticPr fontId="1"/>
  </si>
  <si>
    <t>本ソフトウェアの実行を行うため、マクロを有効にしてください。</t>
    <rPh sb="8" eb="10">
      <t>ジッコウ</t>
    </rPh>
    <rPh sb="11" eb="12">
      <t>オコナ</t>
    </rPh>
    <rPh sb="20" eb="22">
      <t>ユウコウ</t>
    </rPh>
    <phoneticPr fontId="1"/>
  </si>
  <si>
    <t>使用例を閲覧したい場合、マニュアルの編集を行う場合</t>
    <rPh sb="0" eb="2">
      <t>シヨウ</t>
    </rPh>
    <rPh sb="2" eb="3">
      <t>レイ</t>
    </rPh>
    <rPh sb="4" eb="6">
      <t>エツラン</t>
    </rPh>
    <rPh sb="9" eb="11">
      <t>バアイ</t>
    </rPh>
    <rPh sb="18" eb="20">
      <t>ヘンシュウ</t>
    </rPh>
    <rPh sb="21" eb="22">
      <t>オコナ</t>
    </rPh>
    <rPh sb="23" eb="25">
      <t>バアイ</t>
    </rPh>
    <phoneticPr fontId="1"/>
  </si>
  <si>
    <t>CHAR</t>
  </si>
  <si>
    <t>TIMESTAMP:YYYY/MM/DD HH24:MI:SS.FF</t>
  </si>
  <si>
    <t>LONG</t>
  </si>
  <si>
    <t>NCHAR</t>
  </si>
  <si>
    <t>NVARCHAR2</t>
  </si>
  <si>
    <t>BINARY_FLOAT</t>
  </si>
  <si>
    <t>BINARY_DOUBLE</t>
  </si>
  <si>
    <t>DATE</t>
  </si>
  <si>
    <t>DATE:YYYY/MM/DD HH:MI:SS</t>
  </si>
  <si>
    <t>DATE:YYYY/MM/DD HH24:MI:SS</t>
  </si>
  <si>
    <t>DATE:HH24:MI:SS DD/MM/YYYY</t>
  </si>
  <si>
    <t>TIMESTAMP</t>
  </si>
  <si>
    <t>TIMESTAMP:YYYY/MM/DD HH:MI:SS.FF</t>
  </si>
  <si>
    <t>TIMESTAMP:MM/DD/YYYY HH:MI:SS.FF</t>
  </si>
  <si>
    <t>TIMESTAMP:MM/DD/YYYY HH24:MI:SS.FF</t>
  </si>
  <si>
    <t>TIMESTAMP:DD/MM/YYYY HH:MI:SS.FF</t>
  </si>
  <si>
    <t>TIMESTAMP:DD/MM/YYYY HH24:MI:SS.FF</t>
  </si>
  <si>
    <t>TIMESTAMP:HH:MI:SS.FF YYYY/MM/DD</t>
  </si>
  <si>
    <t>TIMESTAMP:HH24:MI:SS.FF YYYY/MM/DD</t>
  </si>
  <si>
    <t>TIMESTAMP:HH:MI:SS.FF MM/DD/YYYY</t>
  </si>
  <si>
    <t>TIMESTAMP:HH24:MI:SS.FF MM/DD/YYYY</t>
  </si>
  <si>
    <t>TIMESTAMP:HH:MI:SS.FF DD/MM/YYYY</t>
  </si>
  <si>
    <t>TIMESTAMP:HH24:MI:SS.FF DD/MM/YYYY</t>
  </si>
  <si>
    <t>RAW</t>
  </si>
  <si>
    <t>LONG RAW</t>
  </si>
  <si>
    <t>BLOB</t>
  </si>
  <si>
    <t>CLOB</t>
  </si>
  <si>
    <t>NCLOB</t>
  </si>
  <si>
    <t>CHAR</t>
    <phoneticPr fontId="1"/>
  </si>
  <si>
    <t>LONG</t>
    <phoneticPr fontId="1"/>
  </si>
  <si>
    <t>NCHAR</t>
    <phoneticPr fontId="1"/>
  </si>
  <si>
    <t>NVARCHAR2</t>
    <phoneticPr fontId="1"/>
  </si>
  <si>
    <t>VARCHAR2</t>
    <phoneticPr fontId="1"/>
  </si>
  <si>
    <t>NUMBER</t>
    <phoneticPr fontId="1"/>
  </si>
  <si>
    <t>BINARY_FLOAT</t>
    <phoneticPr fontId="1"/>
  </si>
  <si>
    <t>BINARY_DOUBLE</t>
    <phoneticPr fontId="1"/>
  </si>
  <si>
    <t>DATE</t>
    <phoneticPr fontId="1"/>
  </si>
  <si>
    <t>DATE:YYYY/MM/DD HH:MI:SS</t>
    <phoneticPr fontId="1"/>
  </si>
  <si>
    <t>DATE:YYYY/MM/DD HH24:MI:SS</t>
    <phoneticPr fontId="1"/>
  </si>
  <si>
    <t>DATE:MM/DD/YYYY HH:MI:SS</t>
    <phoneticPr fontId="1"/>
  </si>
  <si>
    <t>DATE:MM/DD/YYYY HH24:MI:SS</t>
    <phoneticPr fontId="1"/>
  </si>
  <si>
    <t>DATE:DD/MM/YYYY HH:MI:SS</t>
    <phoneticPr fontId="1"/>
  </si>
  <si>
    <t>DATE:DD/MM/YYYY HH24:MI:SS</t>
    <phoneticPr fontId="1"/>
  </si>
  <si>
    <t>DATE:HH:MI:SS YYYY/MM/DD</t>
    <phoneticPr fontId="1"/>
  </si>
  <si>
    <t>DATE:HH24:MI:SS YYYY/MM/DD</t>
    <phoneticPr fontId="1"/>
  </si>
  <si>
    <t>DATE:HH:MI:SS MM/DD/YYYY</t>
    <phoneticPr fontId="1"/>
  </si>
  <si>
    <t>DATE:HH24:MI:SS MM/DD/YYYY</t>
    <phoneticPr fontId="1"/>
  </si>
  <si>
    <t>DATE:HH:MI:SS DD/MM/YYYY</t>
    <phoneticPr fontId="1"/>
  </si>
  <si>
    <t>INSERT_ORCL</t>
    <phoneticPr fontId="1"/>
  </si>
  <si>
    <t>FOR JPN</t>
    <phoneticPr fontId="1"/>
  </si>
  <si>
    <t>このシートでは、データ型のプリセットを用意しています。</t>
    <rPh sb="11" eb="12">
      <t>ガタ</t>
    </rPh>
    <rPh sb="19" eb="21">
      <t>ヨウイ</t>
    </rPh>
    <phoneticPr fontId="1"/>
  </si>
  <si>
    <t>ONLY DATATYPE</t>
    <phoneticPr fontId="1"/>
  </si>
  <si>
    <t>サンプル</t>
    <phoneticPr fontId="1"/>
  </si>
  <si>
    <t>プリセット</t>
    <phoneticPr fontId="1"/>
  </si>
  <si>
    <t>2</t>
    <phoneticPr fontId="1"/>
  </si>
  <si>
    <t>3</t>
    <phoneticPr fontId="1"/>
  </si>
  <si>
    <t>このシートの使い方</t>
    <rPh sb="6" eb="7">
      <t>ツカ</t>
    </rPh>
    <rPh sb="8" eb="9">
      <t>カタ</t>
    </rPh>
    <phoneticPr fontId="1"/>
  </si>
  <si>
    <t>シートごとコピーする。</t>
    <phoneticPr fontId="1"/>
  </si>
  <si>
    <t>データの入力規則でリストを選択する。</t>
    <rPh sb="4" eb="6">
      <t>ニュウリョク</t>
    </rPh>
    <rPh sb="6" eb="8">
      <t>キソク</t>
    </rPh>
    <rPh sb="13" eb="15">
      <t>センタク</t>
    </rPh>
    <phoneticPr fontId="1"/>
  </si>
  <si>
    <t>下記のように設定する（画像は一例です）。</t>
    <rPh sb="0" eb="2">
      <t>カキ</t>
    </rPh>
    <rPh sb="6" eb="8">
      <t>セッテイ</t>
    </rPh>
    <rPh sb="11" eb="13">
      <t>ガゾウ</t>
    </rPh>
    <rPh sb="14" eb="16">
      <t>イチレイ</t>
    </rPh>
    <phoneticPr fontId="1"/>
  </si>
  <si>
    <t>"_PRESET_DATATYPE_"シートを追加。</t>
    <rPh sb="23" eb="25">
      <t>ツイカ</t>
    </rPh>
    <phoneticPr fontId="1"/>
  </si>
  <si>
    <t>マニュアルには本ソフトウェアを適用しているため、閲覧時には警告が表示されることがありますが、</t>
    <rPh sb="15" eb="17">
      <t>テキヨウ</t>
    </rPh>
    <phoneticPr fontId="1"/>
  </si>
  <si>
    <t>GLOBAL</t>
    <phoneticPr fontId="1"/>
  </si>
  <si>
    <t>GLOBAL</t>
    <phoneticPr fontId="1"/>
  </si>
  <si>
    <t>"_PRESET_DATATYPE_"シート</t>
    <phoneticPr fontId="1"/>
  </si>
  <si>
    <t>本マニュアルには"_PRESET_DATATYPE_"シートがあります。</t>
    <rPh sb="0" eb="1">
      <t>ホン</t>
    </rPh>
    <phoneticPr fontId="1"/>
  </si>
  <si>
    <t>詳しくは該当シートをご覧ください。</t>
    <rPh sb="0" eb="1">
      <t>クワ</t>
    </rPh>
    <rPh sb="4" eb="6">
      <t>ガイトウ</t>
    </rPh>
    <rPh sb="11" eb="12">
      <t>ラン</t>
    </rPh>
    <phoneticPr fontId="1"/>
  </si>
  <si>
    <t>本ソフトウェアをより便利に使えるように用意したものです。</t>
    <rPh sb="0" eb="1">
      <t>ホン</t>
    </rPh>
    <rPh sb="10" eb="12">
      <t>ベンリ</t>
    </rPh>
    <rPh sb="13" eb="14">
      <t>ツカ</t>
    </rPh>
    <rPh sb="19" eb="21">
      <t>ヨウイ</t>
    </rPh>
    <phoneticPr fontId="1"/>
  </si>
</sst>
</file>

<file path=xl/styles.xml><?xml version="1.0" encoding="utf-8"?>
<styleSheet xmlns="http://schemas.openxmlformats.org/spreadsheetml/2006/main">
  <fonts count="9">
    <font>
      <sz val="11"/>
      <color theme="1"/>
      <name val="ＭＳ Ｐゴシック"/>
      <family val="2"/>
      <charset val="128"/>
      <scheme val="minor"/>
    </font>
    <font>
      <sz val="6"/>
      <name val="ＭＳ Ｐゴシック"/>
      <family val="2"/>
      <charset val="128"/>
      <scheme val="minor"/>
    </font>
    <font>
      <sz val="11"/>
      <color theme="1"/>
      <name val="游ゴシック"/>
      <family val="3"/>
      <charset val="128"/>
    </font>
    <font>
      <sz val="14"/>
      <color theme="1"/>
      <name val="游ゴシック"/>
      <family val="3"/>
      <charset val="128"/>
    </font>
    <font>
      <i/>
      <sz val="11"/>
      <color theme="1"/>
      <name val="游ゴシック"/>
      <family val="3"/>
      <charset val="128"/>
    </font>
    <font>
      <b/>
      <sz val="11"/>
      <color theme="1"/>
      <name val="游ゴシック"/>
      <family val="3"/>
      <charset val="128"/>
    </font>
    <font>
      <b/>
      <sz val="20"/>
      <color theme="1"/>
      <name val="游ゴシック"/>
      <family val="3"/>
      <charset val="128"/>
    </font>
    <font>
      <b/>
      <sz val="14"/>
      <color theme="1"/>
      <name val="游ゴシック"/>
      <family val="3"/>
      <charset val="128"/>
    </font>
    <font>
      <b/>
      <sz val="11"/>
      <color theme="0"/>
      <name val="游ゴシック"/>
      <family val="3"/>
      <charset val="128"/>
    </font>
  </fonts>
  <fills count="7">
    <fill>
      <patternFill patternType="none"/>
    </fill>
    <fill>
      <patternFill patternType="gray125"/>
    </fill>
    <fill>
      <patternFill patternType="solid">
        <fgColor theme="0" tint="-0.14999847407452621"/>
        <bgColor indexed="64"/>
      </patternFill>
    </fill>
    <fill>
      <patternFill patternType="solid">
        <fgColor theme="3" tint="0.39997558519241921"/>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theme="0" tint="-0.249977111117893"/>
        <bgColor indexed="64"/>
      </patternFill>
    </fill>
  </fills>
  <borders count="13">
    <border>
      <left/>
      <right/>
      <top/>
      <bottom/>
      <diagonal/>
    </border>
    <border>
      <left style="thin">
        <color auto="1"/>
      </left>
      <right style="thin">
        <color auto="1"/>
      </right>
      <top style="thin">
        <color auto="1"/>
      </top>
      <bottom style="thin">
        <color auto="1"/>
      </bottom>
      <diagonal/>
    </border>
    <border>
      <left/>
      <right/>
      <top/>
      <bottom style="thick">
        <color theme="3" tint="0.39994506668294322"/>
      </bottom>
      <diagonal/>
    </border>
    <border>
      <left/>
      <right/>
      <top style="thick">
        <color theme="3" tint="0.39994506668294322"/>
      </top>
      <bottom style="thick">
        <color theme="3" tint="0.39991454817346722"/>
      </bottom>
      <diagonal/>
    </border>
    <border>
      <left/>
      <right/>
      <top/>
      <bottom style="thick">
        <color theme="3" tint="0.39991454817346722"/>
      </bottom>
      <diagonal/>
    </border>
    <border>
      <left/>
      <right/>
      <top style="thick">
        <color theme="3" tint="0.39994506668294322"/>
      </top>
      <bottom style="thick">
        <color theme="3" tint="0.39994506668294322"/>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
      <left style="thick">
        <color theme="3" tint="0.39994506668294322"/>
      </left>
      <right/>
      <top/>
      <bottom/>
      <diagonal/>
    </border>
  </borders>
  <cellStyleXfs count="1">
    <xf numFmtId="0" fontId="0" fillId="0" borderId="0">
      <alignment vertical="center"/>
    </xf>
  </cellStyleXfs>
  <cellXfs count="36">
    <xf numFmtId="0" fontId="0" fillId="0" borderId="0" xfId="0">
      <alignment vertical="center"/>
    </xf>
    <xf numFmtId="49" fontId="2" fillId="0" borderId="0" xfId="0" applyNumberFormat="1" applyFont="1">
      <alignment vertical="center"/>
    </xf>
    <xf numFmtId="49" fontId="5" fillId="0" borderId="0" xfId="0" applyNumberFormat="1" applyFont="1">
      <alignment vertical="center"/>
    </xf>
    <xf numFmtId="49" fontId="5" fillId="3" borderId="0" xfId="0" applyNumberFormat="1" applyFont="1" applyFill="1">
      <alignment vertical="center"/>
    </xf>
    <xf numFmtId="49" fontId="5" fillId="0" borderId="2" xfId="0" applyNumberFormat="1" applyFont="1" applyBorder="1">
      <alignment vertical="center"/>
    </xf>
    <xf numFmtId="49" fontId="2" fillId="0" borderId="2" xfId="0" applyNumberFormat="1" applyFont="1" applyBorder="1">
      <alignment vertical="center"/>
    </xf>
    <xf numFmtId="49" fontId="5" fillId="0" borderId="3" xfId="0" applyNumberFormat="1" applyFont="1" applyBorder="1">
      <alignment vertical="center"/>
    </xf>
    <xf numFmtId="49" fontId="2" fillId="0" borderId="3" xfId="0" applyNumberFormat="1" applyFont="1" applyBorder="1">
      <alignment vertical="center"/>
    </xf>
    <xf numFmtId="49" fontId="2" fillId="0" borderId="4" xfId="0" applyNumberFormat="1" applyFont="1" applyBorder="1">
      <alignment vertical="center"/>
    </xf>
    <xf numFmtId="49" fontId="2" fillId="0" borderId="0" xfId="0" applyNumberFormat="1" applyFont="1" applyBorder="1">
      <alignment vertical="center"/>
    </xf>
    <xf numFmtId="49" fontId="3" fillId="0" borderId="2" xfId="0" applyNumberFormat="1" applyFont="1" applyBorder="1">
      <alignment vertical="center"/>
    </xf>
    <xf numFmtId="49" fontId="6" fillId="0" borderId="0" xfId="0" applyNumberFormat="1" applyFont="1" applyBorder="1">
      <alignment vertical="center"/>
    </xf>
    <xf numFmtId="49" fontId="5" fillId="0" borderId="0" xfId="0" applyNumberFormat="1" applyFont="1" applyBorder="1">
      <alignment vertical="center"/>
    </xf>
    <xf numFmtId="49" fontId="4" fillId="0" borderId="0" xfId="0" applyNumberFormat="1" applyFont="1">
      <alignment vertical="center"/>
    </xf>
    <xf numFmtId="49" fontId="5" fillId="3" borderId="5" xfId="0" applyNumberFormat="1" applyFont="1" applyFill="1" applyBorder="1">
      <alignment vertical="center"/>
    </xf>
    <xf numFmtId="49" fontId="7" fillId="0" borderId="2" xfId="0" applyNumberFormat="1" applyFont="1" applyBorder="1">
      <alignment vertical="center"/>
    </xf>
    <xf numFmtId="49" fontId="5" fillId="3" borderId="2" xfId="0" applyNumberFormat="1" applyFont="1" applyFill="1" applyBorder="1">
      <alignment vertical="center"/>
    </xf>
    <xf numFmtId="0" fontId="2" fillId="0" borderId="12" xfId="0" applyNumberFormat="1" applyFont="1" applyBorder="1">
      <alignment vertical="center"/>
    </xf>
    <xf numFmtId="49" fontId="2" fillId="6" borderId="1" xfId="0" applyNumberFormat="1" applyFont="1" applyFill="1" applyBorder="1" applyAlignment="1">
      <alignment vertical="center" wrapText="1"/>
    </xf>
    <xf numFmtId="49" fontId="2" fillId="0" borderId="1" xfId="0" applyNumberFormat="1" applyFont="1" applyBorder="1" applyAlignment="1">
      <alignment vertical="center" wrapText="1"/>
    </xf>
    <xf numFmtId="49" fontId="2" fillId="5" borderId="1" xfId="0" applyNumberFormat="1" applyFont="1" applyFill="1" applyBorder="1" applyAlignment="1">
      <alignment vertical="center" wrapText="1"/>
    </xf>
    <xf numFmtId="49" fontId="8" fillId="4" borderId="1" xfId="0" applyNumberFormat="1" applyFont="1" applyFill="1" applyBorder="1" applyAlignment="1">
      <alignment vertical="center" wrapText="1"/>
    </xf>
    <xf numFmtId="49" fontId="8" fillId="4" borderId="6" xfId="0" applyNumberFormat="1" applyFont="1" applyFill="1" applyBorder="1" applyAlignment="1">
      <alignment vertical="center" wrapText="1"/>
    </xf>
    <xf numFmtId="49" fontId="8" fillId="4" borderId="7" xfId="0" applyNumberFormat="1" applyFont="1" applyFill="1" applyBorder="1" applyAlignment="1">
      <alignment vertical="center" wrapText="1"/>
    </xf>
    <xf numFmtId="49" fontId="8" fillId="4" borderId="8" xfId="0" applyNumberFormat="1" applyFont="1" applyFill="1" applyBorder="1" applyAlignment="1">
      <alignment vertical="center" wrapText="1"/>
    </xf>
    <xf numFmtId="49" fontId="2" fillId="5" borderId="9" xfId="0" applyNumberFormat="1" applyFont="1" applyFill="1" applyBorder="1" applyAlignment="1">
      <alignment vertical="center" wrapText="1"/>
    </xf>
    <xf numFmtId="49" fontId="2" fillId="5" borderId="10" xfId="0" applyNumberFormat="1" applyFont="1" applyFill="1" applyBorder="1" applyAlignment="1">
      <alignment vertical="center" wrapText="1"/>
    </xf>
    <xf numFmtId="49" fontId="2" fillId="5" borderId="11" xfId="0" applyNumberFormat="1" applyFont="1" applyFill="1" applyBorder="1" applyAlignment="1">
      <alignment vertical="center" wrapText="1"/>
    </xf>
    <xf numFmtId="49" fontId="2" fillId="0" borderId="9" xfId="0" applyNumberFormat="1" applyFont="1" applyBorder="1" applyAlignment="1">
      <alignment vertical="center" wrapText="1"/>
    </xf>
    <xf numFmtId="49" fontId="2" fillId="0" borderId="10" xfId="0" applyNumberFormat="1" applyFont="1" applyBorder="1" applyAlignment="1">
      <alignment vertical="center" wrapText="1"/>
    </xf>
    <xf numFmtId="49" fontId="2" fillId="0" borderId="11" xfId="0" applyNumberFormat="1" applyFont="1" applyBorder="1" applyAlignment="1">
      <alignment vertical="center" wrapText="1"/>
    </xf>
    <xf numFmtId="0" fontId="2" fillId="0" borderId="1" xfId="0" applyNumberFormat="1" applyFont="1" applyBorder="1" applyAlignment="1">
      <alignment vertical="center" wrapText="1"/>
    </xf>
    <xf numFmtId="49" fontId="2" fillId="2" borderId="1" xfId="0" applyNumberFormat="1" applyFont="1" applyFill="1" applyBorder="1" applyAlignment="1">
      <alignment vertical="center" wrapText="1"/>
    </xf>
    <xf numFmtId="49" fontId="2" fillId="2" borderId="1" xfId="0" applyNumberFormat="1" applyFont="1" applyFill="1" applyBorder="1" applyAlignment="1">
      <alignment vertical="center"/>
    </xf>
    <xf numFmtId="49" fontId="2" fillId="0" borderId="1" xfId="0" applyNumberFormat="1" applyFont="1" applyBorder="1">
      <alignment vertical="center"/>
    </xf>
    <xf numFmtId="49" fontId="2" fillId="6" borderId="1" xfId="0" applyNumberFormat="1" applyFont="1" applyFill="1" applyBorder="1">
      <alignment vertical="center"/>
    </xf>
  </cellXfs>
  <cellStyles count="1">
    <cellStyle name="標準"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18</xdr:row>
      <xdr:rowOff>0</xdr:rowOff>
    </xdr:from>
    <xdr:to>
      <xdr:col>8</xdr:col>
      <xdr:colOff>714375</xdr:colOff>
      <xdr:row>19</xdr:row>
      <xdr:rowOff>38100</xdr:rowOff>
    </xdr:to>
    <xdr:pic>
      <xdr:nvPicPr>
        <xdr:cNvPr id="5" name="Picture 2"/>
        <xdr:cNvPicPr>
          <a:picLocks noChangeAspect="1" noChangeArrowheads="1"/>
        </xdr:cNvPicPr>
      </xdr:nvPicPr>
      <xdr:blipFill>
        <a:blip xmlns:r="http://schemas.openxmlformats.org/officeDocument/2006/relationships" r:embed="rId1" cstate="print"/>
        <a:srcRect/>
        <a:stretch>
          <a:fillRect/>
        </a:stretch>
      </xdr:blipFill>
      <xdr:spPr bwMode="auto">
        <a:xfrm>
          <a:off x="1104900" y="2390775"/>
          <a:ext cx="5514975" cy="276225"/>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10</xdr:col>
      <xdr:colOff>514350</xdr:colOff>
      <xdr:row>17</xdr:row>
      <xdr:rowOff>19050</xdr:rowOff>
    </xdr:to>
    <xdr:pic>
      <xdr:nvPicPr>
        <xdr:cNvPr id="2051" name="Picture 3"/>
        <xdr:cNvPicPr>
          <a:picLocks noChangeAspect="1" noChangeArrowheads="1"/>
        </xdr:cNvPicPr>
      </xdr:nvPicPr>
      <xdr:blipFill>
        <a:blip xmlns:r="http://schemas.openxmlformats.org/officeDocument/2006/relationships" r:embed="rId1" cstate="print"/>
        <a:srcRect/>
        <a:stretch>
          <a:fillRect/>
        </a:stretch>
      </xdr:blipFill>
      <xdr:spPr bwMode="auto">
        <a:xfrm>
          <a:off x="4695825" y="952500"/>
          <a:ext cx="3943350" cy="2876550"/>
        </a:xfrm>
        <a:prstGeom prst="rect">
          <a:avLst/>
        </a:prstGeom>
        <a:noFill/>
        <a:ln w="1">
          <a:noFill/>
          <a:miter lim="800000"/>
          <a:headEnd/>
          <a:tailEnd type="none" w="med" len="med"/>
        </a:ln>
        <a:effectLst/>
      </xdr:spPr>
    </xdr:pic>
    <xdr:clientData/>
  </xdr:twoCellAnchor>
  <xdr:twoCellAnchor editAs="oneCell">
    <xdr:from>
      <xdr:col>2</xdr:col>
      <xdr:colOff>0</xdr:colOff>
      <xdr:row>5</xdr:row>
      <xdr:rowOff>0</xdr:rowOff>
    </xdr:from>
    <xdr:to>
      <xdr:col>4</xdr:col>
      <xdr:colOff>1181100</xdr:colOff>
      <xdr:row>17</xdr:row>
      <xdr:rowOff>19050</xdr:rowOff>
    </xdr:to>
    <xdr:pic>
      <xdr:nvPicPr>
        <xdr:cNvPr id="2053" name="Picture 5"/>
        <xdr:cNvPicPr>
          <a:picLocks noChangeAspect="1" noChangeArrowheads="1"/>
        </xdr:cNvPicPr>
      </xdr:nvPicPr>
      <xdr:blipFill>
        <a:blip xmlns:r="http://schemas.openxmlformats.org/officeDocument/2006/relationships" r:embed="rId2" cstate="print"/>
        <a:srcRect/>
        <a:stretch>
          <a:fillRect/>
        </a:stretch>
      </xdr:blipFill>
      <xdr:spPr bwMode="auto">
        <a:xfrm>
          <a:off x="552450" y="1190625"/>
          <a:ext cx="3943350" cy="2876550"/>
        </a:xfrm>
        <a:prstGeom prst="rect">
          <a:avLst/>
        </a:prstGeom>
        <a:noFill/>
        <a:ln w="1">
          <a:noFill/>
          <a:miter lim="800000"/>
          <a:headEnd/>
          <a:tailEnd type="none" w="med" len="med"/>
        </a:ln>
        <a:effectLst/>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M226"/>
  <sheetViews>
    <sheetView tabSelected="1" workbookViewId="0"/>
  </sheetViews>
  <sheetFormatPr defaultRowHeight="18.75"/>
  <cols>
    <col min="1" max="1" width="2.625" style="2" customWidth="1"/>
    <col min="2" max="4" width="3.625" style="2" customWidth="1"/>
    <col min="5" max="5" width="3.625" style="1" customWidth="1"/>
    <col min="6" max="13" width="21" style="1" customWidth="1"/>
    <col min="14" max="22" width="9" style="1" customWidth="1"/>
    <col min="23" max="16384" width="9" style="1"/>
  </cols>
  <sheetData>
    <row r="1" spans="1:11" ht="33.75" thickBot="1">
      <c r="A1" s="3"/>
      <c r="B1" s="11" t="s">
        <v>3</v>
      </c>
      <c r="C1" s="12"/>
      <c r="H1" s="9"/>
      <c r="I1" s="9"/>
      <c r="J1" s="9"/>
      <c r="K1" s="9"/>
    </row>
    <row r="2" spans="1:11" ht="25.5" thickTop="1" thickBot="1">
      <c r="A2" s="14"/>
      <c r="B2" s="15" t="s">
        <v>206</v>
      </c>
      <c r="C2" s="15"/>
      <c r="D2" s="10"/>
      <c r="E2" s="10"/>
      <c r="F2" s="10"/>
      <c r="G2" s="10"/>
      <c r="H2" s="10"/>
    </row>
    <row r="3" spans="1:11" ht="19.5" thickTop="1"/>
    <row r="4" spans="1:11" ht="19.5" thickBot="1">
      <c r="A4" s="16"/>
      <c r="B4" s="4" t="s">
        <v>208</v>
      </c>
      <c r="C4" s="4"/>
      <c r="D4" s="4"/>
      <c r="E4" s="5"/>
    </row>
    <row r="5" spans="1:11" ht="19.5" thickTop="1">
      <c r="E5" s="1" t="s">
        <v>214</v>
      </c>
    </row>
    <row r="6" spans="1:11">
      <c r="F6" s="1" t="s">
        <v>279</v>
      </c>
    </row>
    <row r="7" spans="1:11">
      <c r="E7" s="1" t="s">
        <v>209</v>
      </c>
    </row>
    <row r="8" spans="1:11">
      <c r="F8" s="1" t="s">
        <v>210</v>
      </c>
    </row>
    <row r="10" spans="1:11" ht="19.5" thickBot="1">
      <c r="A10" s="16"/>
      <c r="B10" s="4" t="s">
        <v>4</v>
      </c>
      <c r="C10" s="4"/>
      <c r="D10" s="4"/>
      <c r="E10" s="5"/>
    </row>
    <row r="11" spans="1:11" ht="19.5" thickTop="1">
      <c r="F11" s="1" t="s">
        <v>11</v>
      </c>
    </row>
    <row r="12" spans="1:11">
      <c r="F12" s="1" t="s">
        <v>207</v>
      </c>
    </row>
    <row r="13" spans="1:11">
      <c r="F13" s="1" t="s">
        <v>213</v>
      </c>
    </row>
    <row r="15" spans="1:11" ht="19.5" thickBot="1">
      <c r="A15" s="16"/>
      <c r="B15" s="4" t="s">
        <v>47</v>
      </c>
      <c r="C15" s="4"/>
      <c r="D15" s="4"/>
      <c r="E15" s="5"/>
      <c r="F15" s="9"/>
    </row>
    <row r="16" spans="1:11" ht="20.25" thickTop="1" thickBot="1">
      <c r="C16" s="6" t="s">
        <v>9</v>
      </c>
      <c r="D16" s="6"/>
      <c r="E16" s="7"/>
      <c r="F16" s="8"/>
    </row>
    <row r="17" spans="4:6" ht="19.5" thickTop="1">
      <c r="D17" s="2" t="s">
        <v>5</v>
      </c>
    </row>
    <row r="18" spans="4:6">
      <c r="F18" s="1" t="s">
        <v>6</v>
      </c>
    </row>
    <row r="21" spans="4:6">
      <c r="F21" s="1" t="s">
        <v>280</v>
      </c>
    </row>
    <row r="22" spans="4:6">
      <c r="F22" s="2" t="s">
        <v>215</v>
      </c>
    </row>
    <row r="23" spans="4:6">
      <c r="F23" s="1" t="s">
        <v>216</v>
      </c>
    </row>
    <row r="24" spans="4:6">
      <c r="F24" s="2"/>
    </row>
    <row r="25" spans="4:6">
      <c r="E25" s="1" t="s">
        <v>218</v>
      </c>
      <c r="F25" s="2"/>
    </row>
    <row r="26" spans="4:6">
      <c r="F26" s="1" t="s">
        <v>217</v>
      </c>
    </row>
    <row r="28" spans="4:6">
      <c r="D28" s="2" t="s">
        <v>8</v>
      </c>
    </row>
    <row r="29" spans="4:6">
      <c r="F29" s="1" t="s">
        <v>203</v>
      </c>
    </row>
    <row r="30" spans="4:6">
      <c r="F30" s="1" t="s">
        <v>204</v>
      </c>
    </row>
    <row r="32" spans="4:6">
      <c r="E32" s="1" t="s">
        <v>13</v>
      </c>
    </row>
    <row r="33" spans="1:6">
      <c r="F33" s="1" t="s">
        <v>48</v>
      </c>
    </row>
    <row r="35" spans="1:6" ht="19.5" thickBot="1">
      <c r="C35" s="4" t="s">
        <v>10</v>
      </c>
      <c r="D35" s="4"/>
      <c r="E35" s="5"/>
      <c r="F35" s="5"/>
    </row>
    <row r="36" spans="1:6" ht="19.5" thickTop="1">
      <c r="D36" s="2" t="s">
        <v>100</v>
      </c>
    </row>
    <row r="37" spans="1:6">
      <c r="F37" s="1" t="s">
        <v>98</v>
      </c>
    </row>
    <row r="38" spans="1:6">
      <c r="F38" s="1" t="s">
        <v>12</v>
      </c>
    </row>
    <row r="40" spans="1:6" ht="19.5" thickBot="1">
      <c r="A40" s="16"/>
      <c r="B40" s="4" t="s">
        <v>93</v>
      </c>
      <c r="C40" s="4"/>
      <c r="D40" s="4"/>
      <c r="E40" s="5"/>
    </row>
    <row r="41" spans="1:6" ht="20.25" thickTop="1" thickBot="1">
      <c r="C41" s="4" t="s">
        <v>91</v>
      </c>
      <c r="D41" s="4"/>
      <c r="E41" s="5"/>
      <c r="F41" s="5"/>
    </row>
    <row r="42" spans="1:6" ht="19.5" thickTop="1">
      <c r="F42" s="1" t="s">
        <v>92</v>
      </c>
    </row>
    <row r="43" spans="1:6">
      <c r="F43" s="1" t="s">
        <v>94</v>
      </c>
    </row>
    <row r="44" spans="1:6">
      <c r="F44" s="1" t="s">
        <v>95</v>
      </c>
    </row>
    <row r="45" spans="1:6">
      <c r="F45" s="1" t="s">
        <v>96</v>
      </c>
    </row>
    <row r="47" spans="1:6" ht="19.5" thickBot="1">
      <c r="C47" s="4" t="s">
        <v>15</v>
      </c>
      <c r="D47" s="4"/>
      <c r="E47" s="5"/>
      <c r="F47" s="5"/>
    </row>
    <row r="48" spans="1:6" ht="19.5" thickTop="1">
      <c r="F48" s="1" t="s">
        <v>7</v>
      </c>
    </row>
    <row r="49" spans="3:6">
      <c r="F49" s="1" t="s">
        <v>16</v>
      </c>
    </row>
    <row r="50" spans="3:6">
      <c r="F50" s="1" t="s">
        <v>205</v>
      </c>
    </row>
    <row r="51" spans="3:6">
      <c r="F51" s="1" t="s">
        <v>17</v>
      </c>
    </row>
    <row r="53" spans="3:6" ht="19.5" thickBot="1">
      <c r="C53" s="4" t="s">
        <v>14</v>
      </c>
      <c r="D53" s="4"/>
      <c r="E53" s="5"/>
      <c r="F53" s="5"/>
    </row>
    <row r="54" spans="3:6" ht="19.5" thickTop="1">
      <c r="D54" s="2" t="s">
        <v>101</v>
      </c>
    </row>
    <row r="55" spans="3:6">
      <c r="E55" s="1" t="s">
        <v>19</v>
      </c>
    </row>
    <row r="56" spans="3:6">
      <c r="F56" s="1" t="s">
        <v>51</v>
      </c>
    </row>
    <row r="58" spans="3:6">
      <c r="E58" s="1" t="s">
        <v>202</v>
      </c>
    </row>
    <row r="59" spans="3:6">
      <c r="F59" s="1" t="s">
        <v>60</v>
      </c>
    </row>
    <row r="60" spans="3:6">
      <c r="F60" s="1" t="s">
        <v>59</v>
      </c>
    </row>
    <row r="62" spans="3:6">
      <c r="E62" s="1" t="s">
        <v>90</v>
      </c>
    </row>
    <row r="63" spans="3:6">
      <c r="F63" s="1" t="s">
        <v>178</v>
      </c>
    </row>
    <row r="65" spans="6:13">
      <c r="F65" s="1" t="s">
        <v>109</v>
      </c>
    </row>
    <row r="66" spans="6:13">
      <c r="F66" s="33" t="s">
        <v>0</v>
      </c>
      <c r="G66" s="33" t="s">
        <v>99</v>
      </c>
      <c r="H66" s="33" t="s">
        <v>99</v>
      </c>
      <c r="I66" s="33" t="s">
        <v>0</v>
      </c>
      <c r="J66" s="33" t="s">
        <v>170</v>
      </c>
      <c r="K66" s="33" t="s">
        <v>0</v>
      </c>
      <c r="L66" s="33" t="s">
        <v>0</v>
      </c>
      <c r="M66" s="33" t="s">
        <v>0</v>
      </c>
    </row>
    <row r="67" spans="6:13">
      <c r="F67" s="22" t="s">
        <v>179</v>
      </c>
      <c r="G67" s="23" t="s">
        <v>180</v>
      </c>
      <c r="H67" s="23" t="s">
        <v>181</v>
      </c>
      <c r="I67" s="23" t="s">
        <v>182</v>
      </c>
      <c r="J67" s="23" t="s">
        <v>183</v>
      </c>
      <c r="K67" s="23" t="s">
        <v>184</v>
      </c>
      <c r="L67" s="23" t="s">
        <v>185</v>
      </c>
      <c r="M67" s="24" t="s">
        <v>186</v>
      </c>
    </row>
    <row r="68" spans="6:13">
      <c r="F68" s="25" t="s">
        <v>149</v>
      </c>
      <c r="G68" s="26" t="s">
        <v>139</v>
      </c>
      <c r="H68" s="26" t="s">
        <v>102</v>
      </c>
      <c r="I68" s="26" t="s">
        <v>127</v>
      </c>
      <c r="J68" s="26" t="s">
        <v>133</v>
      </c>
      <c r="K68" s="26" t="s">
        <v>107</v>
      </c>
      <c r="L68" s="26" t="s">
        <v>105</v>
      </c>
      <c r="M68" s="27" t="s">
        <v>168</v>
      </c>
    </row>
    <row r="69" spans="6:13">
      <c r="F69" s="28" t="s">
        <v>150</v>
      </c>
      <c r="G69" s="29" t="s">
        <v>140</v>
      </c>
      <c r="H69" s="29" t="s">
        <v>134</v>
      </c>
      <c r="I69" s="29" t="s">
        <v>128</v>
      </c>
      <c r="J69" s="29" t="s">
        <v>110</v>
      </c>
      <c r="K69" s="29" t="s">
        <v>108</v>
      </c>
      <c r="L69" s="29" t="s">
        <v>166</v>
      </c>
      <c r="M69" s="30" t="s">
        <v>126</v>
      </c>
    </row>
    <row r="70" spans="6:13">
      <c r="F70" s="25" t="s">
        <v>151</v>
      </c>
      <c r="G70" s="26" t="s">
        <v>141</v>
      </c>
      <c r="H70" s="26" t="s">
        <v>134</v>
      </c>
      <c r="I70" s="26" t="s">
        <v>128</v>
      </c>
      <c r="J70" s="26" t="s">
        <v>111</v>
      </c>
      <c r="K70" s="26" t="s">
        <v>157</v>
      </c>
      <c r="L70" s="26" t="s">
        <v>124</v>
      </c>
      <c r="M70" s="27" t="s">
        <v>126</v>
      </c>
    </row>
    <row r="71" spans="6:13">
      <c r="F71" s="28" t="s">
        <v>130</v>
      </c>
      <c r="G71" s="29" t="s">
        <v>142</v>
      </c>
      <c r="H71" s="29" t="s">
        <v>135</v>
      </c>
      <c r="I71" s="29" t="s">
        <v>129</v>
      </c>
      <c r="J71" s="29" t="s">
        <v>112</v>
      </c>
      <c r="K71" s="29" t="s">
        <v>158</v>
      </c>
      <c r="L71" s="29" t="s">
        <v>105</v>
      </c>
      <c r="M71" s="30" t="s">
        <v>168</v>
      </c>
    </row>
    <row r="72" spans="6:13">
      <c r="F72" s="25" t="s">
        <v>152</v>
      </c>
      <c r="G72" s="26" t="s">
        <v>143</v>
      </c>
      <c r="H72" s="26" t="s">
        <v>134</v>
      </c>
      <c r="I72" s="26" t="s">
        <v>128</v>
      </c>
      <c r="J72" s="26" t="s">
        <v>113</v>
      </c>
      <c r="K72" s="26" t="s">
        <v>157</v>
      </c>
      <c r="L72" s="26" t="s">
        <v>167</v>
      </c>
      <c r="M72" s="27" t="s">
        <v>126</v>
      </c>
    </row>
    <row r="73" spans="6:13">
      <c r="F73" s="28" t="s">
        <v>128</v>
      </c>
      <c r="G73" s="29" t="s">
        <v>144</v>
      </c>
      <c r="H73" s="29" t="s">
        <v>135</v>
      </c>
      <c r="I73" s="29" t="s">
        <v>129</v>
      </c>
      <c r="J73" s="29" t="s">
        <v>114</v>
      </c>
      <c r="K73" s="29" t="s">
        <v>159</v>
      </c>
      <c r="L73" s="29" t="s">
        <v>105</v>
      </c>
      <c r="M73" s="30" t="s">
        <v>126</v>
      </c>
    </row>
    <row r="74" spans="6:13">
      <c r="F74" s="25" t="s">
        <v>132</v>
      </c>
      <c r="G74" s="26" t="s">
        <v>138</v>
      </c>
      <c r="H74" s="26" t="s">
        <v>135</v>
      </c>
      <c r="I74" s="26" t="s">
        <v>129</v>
      </c>
      <c r="J74" s="26" t="s">
        <v>115</v>
      </c>
      <c r="K74" s="26" t="s">
        <v>160</v>
      </c>
      <c r="L74" s="26" t="s">
        <v>105</v>
      </c>
      <c r="M74" s="27" t="s">
        <v>169</v>
      </c>
    </row>
    <row r="75" spans="6:13">
      <c r="F75" s="28" t="s">
        <v>131</v>
      </c>
      <c r="G75" s="29" t="s">
        <v>122</v>
      </c>
      <c r="H75" s="29" t="s">
        <v>136</v>
      </c>
      <c r="I75" s="29" t="s">
        <v>130</v>
      </c>
      <c r="J75" s="29" t="s">
        <v>116</v>
      </c>
      <c r="K75" s="29" t="s">
        <v>161</v>
      </c>
      <c r="L75" s="29" t="s">
        <v>105</v>
      </c>
      <c r="M75" s="30" t="s">
        <v>168</v>
      </c>
    </row>
    <row r="76" spans="6:13">
      <c r="F76" s="25" t="s">
        <v>129</v>
      </c>
      <c r="G76" s="26" t="s">
        <v>103</v>
      </c>
      <c r="H76" s="26" t="s">
        <v>137</v>
      </c>
      <c r="I76" s="26" t="s">
        <v>105</v>
      </c>
      <c r="J76" s="26" t="s">
        <v>117</v>
      </c>
      <c r="K76" s="26" t="s">
        <v>106</v>
      </c>
      <c r="L76" s="26" t="s">
        <v>105</v>
      </c>
      <c r="M76" s="27" t="s">
        <v>169</v>
      </c>
    </row>
    <row r="77" spans="6:13">
      <c r="F77" s="28" t="s">
        <v>153</v>
      </c>
      <c r="G77" s="29" t="s">
        <v>145</v>
      </c>
      <c r="H77" s="29" t="s">
        <v>134</v>
      </c>
      <c r="I77" s="29" t="s">
        <v>128</v>
      </c>
      <c r="J77" s="29" t="s">
        <v>118</v>
      </c>
      <c r="K77" s="29" t="s">
        <v>162</v>
      </c>
      <c r="L77" s="29" t="s">
        <v>125</v>
      </c>
      <c r="M77" s="30" t="s">
        <v>126</v>
      </c>
    </row>
    <row r="78" spans="6:13">
      <c r="F78" s="25" t="s">
        <v>154</v>
      </c>
      <c r="G78" s="26" t="s">
        <v>123</v>
      </c>
      <c r="H78" s="26" t="s">
        <v>138</v>
      </c>
      <c r="I78" s="26" t="s">
        <v>131</v>
      </c>
      <c r="J78" s="26" t="s">
        <v>119</v>
      </c>
      <c r="K78" s="26" t="s">
        <v>163</v>
      </c>
      <c r="L78" s="26" t="s">
        <v>105</v>
      </c>
      <c r="M78" s="27" t="s">
        <v>168</v>
      </c>
    </row>
    <row r="79" spans="6:13">
      <c r="F79" s="28" t="s">
        <v>155</v>
      </c>
      <c r="G79" s="29" t="s">
        <v>146</v>
      </c>
      <c r="H79" s="29" t="s">
        <v>102</v>
      </c>
      <c r="I79" s="29" t="s">
        <v>128</v>
      </c>
      <c r="J79" s="29" t="s">
        <v>120</v>
      </c>
      <c r="K79" s="29" t="s">
        <v>164</v>
      </c>
      <c r="L79" s="29" t="s">
        <v>105</v>
      </c>
      <c r="M79" s="30" t="s">
        <v>126</v>
      </c>
    </row>
    <row r="80" spans="6:13">
      <c r="F80" s="25" t="s">
        <v>127</v>
      </c>
      <c r="G80" s="26" t="s">
        <v>147</v>
      </c>
      <c r="H80" s="26" t="s">
        <v>136</v>
      </c>
      <c r="I80" s="26" t="s">
        <v>130</v>
      </c>
      <c r="J80" s="26" t="s">
        <v>120</v>
      </c>
      <c r="K80" s="26" t="s">
        <v>161</v>
      </c>
      <c r="L80" s="26" t="s">
        <v>105</v>
      </c>
      <c r="M80" s="27" t="s">
        <v>168</v>
      </c>
    </row>
    <row r="81" spans="6:13">
      <c r="F81" s="28" t="s">
        <v>156</v>
      </c>
      <c r="G81" s="29" t="s">
        <v>148</v>
      </c>
      <c r="H81" s="29" t="s">
        <v>102</v>
      </c>
      <c r="I81" s="29" t="s">
        <v>132</v>
      </c>
      <c r="J81" s="29" t="s">
        <v>121</v>
      </c>
      <c r="K81" s="29" t="s">
        <v>165</v>
      </c>
      <c r="L81" s="29" t="s">
        <v>104</v>
      </c>
      <c r="M81" s="30" t="s">
        <v>169</v>
      </c>
    </row>
    <row r="83" spans="6:13">
      <c r="F83" s="1" t="s">
        <v>177</v>
      </c>
    </row>
    <row r="84" spans="6:13">
      <c r="F84" s="17" t="str">
        <f t="shared" ref="F84:F97" si="0">INSERT_ORCL($F$65,$F$66:$M$66,$F$67:$M$67,F68:M68,"LF","(NULL)")</f>
        <v>INSERT INTO EMP(EMPNO,ENAME,JOB,MGR,HIREDATE,SAL,COMM,DEPTNO) VALUES(7369,'SMITH','CLERK',7902,TO_DATE('1980-12-17','YYYY-MM-DD'),800.00,NULL,20);</v>
      </c>
    </row>
    <row r="85" spans="6:13">
      <c r="F85" s="17" t="str">
        <f t="shared" si="0"/>
        <v>INSERT INTO EMP(EMPNO,ENAME,JOB,MGR,HIREDATE,SAL,COMM,DEPTNO) VALUES(7499,'ALLEN','SALESMAN',7698,TO_DATE('1981-02-20','YYYY-MM-DD'),1600.00,300.00,30);</v>
      </c>
    </row>
    <row r="86" spans="6:13">
      <c r="F86" s="17" t="str">
        <f t="shared" si="0"/>
        <v>INSERT INTO EMP(EMPNO,ENAME,JOB,MGR,HIREDATE,SAL,COMM,DEPTNO) VALUES(7521,'WARD','SALESMAN',7698,TO_DATE('1981-02-22','YYYY-MM-DD'),1250.00,500.00,30);</v>
      </c>
    </row>
    <row r="87" spans="6:13">
      <c r="F87" s="17" t="str">
        <f t="shared" si="0"/>
        <v>INSERT INTO EMP(EMPNO,ENAME,JOB,MGR,HIREDATE,SAL,COMM,DEPTNO) VALUES(7566,'JONES','MANAGER',7839,TO_DATE('1981-04-02','YYYY-MM-DD'),2975.00,NULL,20);</v>
      </c>
    </row>
    <row r="88" spans="6:13">
      <c r="F88" s="17" t="str">
        <f t="shared" si="0"/>
        <v>INSERT INTO EMP(EMPNO,ENAME,JOB,MGR,HIREDATE,SAL,COMM,DEPTNO) VALUES(7654,'MARTIN','SALESMAN',7698,TO_DATE('1981-09-28','YYYY-MM-DD'),1250.00,1400.00,30);</v>
      </c>
    </row>
    <row r="89" spans="6:13">
      <c r="F89" s="17" t="str">
        <f t="shared" si="0"/>
        <v>INSERT INTO EMP(EMPNO,ENAME,JOB,MGR,HIREDATE,SAL,COMM,DEPTNO) VALUES(7698,'BLAKE','MANAGER',7839,TO_DATE('1981-05-01','YYYY-MM-DD'),2850.00,NULL,30);</v>
      </c>
    </row>
    <row r="90" spans="6:13">
      <c r="F90" s="17" t="str">
        <f t="shared" si="0"/>
        <v>INSERT INTO EMP(EMPNO,ENAME,JOB,MGR,HIREDATE,SAL,COMM,DEPTNO) VALUES(7782,'CLARK','MANAGER',7839,TO_DATE('1981-06-09','YYYY-MM-DD'),2450.00,NULL,10);</v>
      </c>
    </row>
    <row r="91" spans="6:13">
      <c r="F91" s="17" t="str">
        <f t="shared" si="0"/>
        <v>INSERT INTO EMP(EMPNO,ENAME,JOB,MGR,HIREDATE,SAL,COMM,DEPTNO) VALUES(7788,'SCOTT','ANALYST',7566,TO_DATE('1987-04-19','YYYY-MM-DD'),3000.00,NULL,20);</v>
      </c>
    </row>
    <row r="92" spans="6:13">
      <c r="F92" s="17" t="str">
        <f t="shared" si="0"/>
        <v>INSERT INTO EMP(EMPNO,ENAME,JOB,MGR,HIREDATE,SAL,COMM,DEPTNO) VALUES(7839,'KING','PRESIDENT',NULL,TO_DATE('1981-11-17','YYYY-MM-DD'),5000.00,NULL,10);</v>
      </c>
    </row>
    <row r="93" spans="6:13">
      <c r="F93" s="17" t="str">
        <f t="shared" si="0"/>
        <v>INSERT INTO EMP(EMPNO,ENAME,JOB,MGR,HIREDATE,SAL,COMM,DEPTNO) VALUES(7844,'TURNER','SALESMAN',7698,TO_DATE('1981-09-08','YYYY-MM-DD'),1500.00,0.00,30);</v>
      </c>
    </row>
    <row r="94" spans="6:13">
      <c r="F94" s="17" t="str">
        <f t="shared" si="0"/>
        <v>INSERT INTO EMP(EMPNO,ENAME,JOB,MGR,HIREDATE,SAL,COMM,DEPTNO) VALUES(7876,'ADAMS','CLARK',7788,TO_DATE('1987-05-23','YYYY-MM-DD'),1100.00,NULL,20);</v>
      </c>
    </row>
    <row r="95" spans="6:13">
      <c r="F95" s="17" t="str">
        <f t="shared" si="0"/>
        <v>INSERT INTO EMP(EMPNO,ENAME,JOB,MGR,HIREDATE,SAL,COMM,DEPTNO) VALUES(7900,'JAMES','CLERK',7698,TO_DATE('1981-12-03','YYYY-MM-DD'),950.00,NULL,30);</v>
      </c>
    </row>
    <row r="96" spans="6:13">
      <c r="F96" s="17" t="str">
        <f t="shared" si="0"/>
        <v>INSERT INTO EMP(EMPNO,ENAME,JOB,MGR,HIREDATE,SAL,COMM,DEPTNO) VALUES(7902,'FORD','ANALYST',7566,TO_DATE('1981-12-03','YYYY-MM-DD'),3000.00,NULL,20);</v>
      </c>
    </row>
    <row r="97" spans="5:8">
      <c r="F97" s="17" t="str">
        <f t="shared" si="0"/>
        <v>INSERT INTO EMP(EMPNO,ENAME,JOB,MGR,HIREDATE,SAL,COMM,DEPTNO) VALUES(7934,'MILLER','CLERK',7782,TO_DATE('1982-01-23','YYYY-MM-DD'),1300.00,NULL,10);</v>
      </c>
    </row>
    <row r="99" spans="5:8">
      <c r="E99" s="1" t="s">
        <v>30</v>
      </c>
    </row>
    <row r="100" spans="5:8">
      <c r="F100" s="13" t="s">
        <v>88</v>
      </c>
    </row>
    <row r="102" spans="5:8">
      <c r="E102" s="1" t="s">
        <v>18</v>
      </c>
    </row>
    <row r="103" spans="5:8">
      <c r="F103" s="18" t="s">
        <v>31</v>
      </c>
      <c r="G103" s="18" t="s">
        <v>32</v>
      </c>
      <c r="H103" s="18" t="s">
        <v>33</v>
      </c>
    </row>
    <row r="104" spans="5:8" ht="37.5">
      <c r="F104" s="19" t="s">
        <v>26</v>
      </c>
      <c r="G104" s="19" t="s">
        <v>21</v>
      </c>
      <c r="H104" s="19" t="s">
        <v>188</v>
      </c>
    </row>
    <row r="105" spans="5:8" ht="56.25">
      <c r="F105" s="19" t="s">
        <v>41</v>
      </c>
      <c r="G105" s="19" t="s">
        <v>22</v>
      </c>
      <c r="H105" s="19" t="s">
        <v>187</v>
      </c>
    </row>
    <row r="106" spans="5:8" ht="56.25">
      <c r="F106" s="19" t="s">
        <v>42</v>
      </c>
      <c r="G106" s="19" t="s">
        <v>23</v>
      </c>
      <c r="H106" s="19" t="s">
        <v>189</v>
      </c>
    </row>
    <row r="107" spans="5:8" ht="37.5">
      <c r="F107" s="19" t="s">
        <v>27</v>
      </c>
      <c r="G107" s="19" t="s">
        <v>24</v>
      </c>
      <c r="H107" s="19" t="s">
        <v>28</v>
      </c>
    </row>
    <row r="108" spans="5:8" ht="56.25">
      <c r="F108" s="19" t="s">
        <v>45</v>
      </c>
      <c r="G108" s="19" t="s">
        <v>25</v>
      </c>
      <c r="H108" s="19" t="s">
        <v>29</v>
      </c>
    </row>
    <row r="109" spans="5:8" ht="56.25">
      <c r="F109" s="19" t="s">
        <v>35</v>
      </c>
      <c r="G109" s="19" t="s">
        <v>40</v>
      </c>
      <c r="H109" s="19" t="s">
        <v>34</v>
      </c>
    </row>
    <row r="111" spans="5:8">
      <c r="F111" s="1" t="s">
        <v>49</v>
      </c>
    </row>
    <row r="113" spans="5:7">
      <c r="E113" s="1" t="s">
        <v>78</v>
      </c>
    </row>
    <row r="114" spans="5:7">
      <c r="F114" s="1" t="s">
        <v>85</v>
      </c>
    </row>
    <row r="115" spans="5:7">
      <c r="F115" s="1" t="s">
        <v>86</v>
      </c>
    </row>
    <row r="116" spans="5:7">
      <c r="F116" s="1" t="s">
        <v>89</v>
      </c>
    </row>
    <row r="117" spans="5:7">
      <c r="F117" s="32" t="s">
        <v>81</v>
      </c>
      <c r="G117" s="32" t="s">
        <v>80</v>
      </c>
    </row>
    <row r="118" spans="5:7">
      <c r="F118" s="21" t="s">
        <v>1</v>
      </c>
      <c r="G118" s="21" t="s">
        <v>82</v>
      </c>
    </row>
    <row r="119" spans="5:7" ht="56.25">
      <c r="F119" s="20" t="s">
        <v>2</v>
      </c>
      <c r="G119" s="20" t="s">
        <v>79</v>
      </c>
    </row>
    <row r="121" spans="5:7">
      <c r="F121" s="1" t="s">
        <v>197</v>
      </c>
    </row>
    <row r="122" spans="5:7">
      <c r="F122" s="17" t="str">
        <f>INSERT_ORCL($F$116,$F$117:$G$117,$F$118:$G$118,F119:G119,"LF", "(NULL)")</f>
        <v>INSERT INTO TEST_TABLE(ID,TEST_XML) VALUES(1,xmltype('&lt;?xml version="1.0"?&gt;&lt;Test&gt;&lt;/Test&gt;'));</v>
      </c>
    </row>
    <row r="124" spans="5:7">
      <c r="E124" s="1" t="s">
        <v>58</v>
      </c>
    </row>
    <row r="125" spans="5:7">
      <c r="F125" s="1" t="s">
        <v>87</v>
      </c>
    </row>
    <row r="126" spans="5:7">
      <c r="F126" s="1" t="s">
        <v>74</v>
      </c>
    </row>
    <row r="127" spans="5:7">
      <c r="F127" s="1" t="s">
        <v>75</v>
      </c>
    </row>
    <row r="129" spans="6:8">
      <c r="F129" s="2" t="s">
        <v>195</v>
      </c>
    </row>
    <row r="130" spans="6:8">
      <c r="F130" s="1" t="s">
        <v>70</v>
      </c>
    </row>
    <row r="131" spans="6:8">
      <c r="F131" s="1" t="s">
        <v>77</v>
      </c>
    </row>
    <row r="133" spans="6:8">
      <c r="F133" s="1" t="s">
        <v>196</v>
      </c>
    </row>
    <row r="134" spans="6:8">
      <c r="F134" s="18" t="s">
        <v>73</v>
      </c>
      <c r="G134" s="18" t="s">
        <v>71</v>
      </c>
      <c r="H134" s="18" t="s">
        <v>72</v>
      </c>
    </row>
    <row r="135" spans="6:8">
      <c r="F135" s="19"/>
      <c r="G135" s="31" t="str">
        <f>"'"</f>
        <v>'</v>
      </c>
      <c r="H135" s="31" t="str">
        <f>"''"</f>
        <v>''</v>
      </c>
    </row>
    <row r="136" spans="6:8">
      <c r="F136" s="19"/>
      <c r="G136" s="19" t="s">
        <v>173</v>
      </c>
      <c r="H136" s="31" t="str">
        <f>"' || CHR(9) || '"</f>
        <v>' || CHR(9) || '</v>
      </c>
    </row>
    <row r="137" spans="6:8" ht="37.5">
      <c r="F137" s="19" t="s">
        <v>174</v>
      </c>
      <c r="G137" s="19" t="s">
        <v>171</v>
      </c>
      <c r="H137" s="31" t="str">
        <f>"' || CHR(13) || CHR(10) || '"</f>
        <v>' || CHR(13) || CHR(10) || '</v>
      </c>
    </row>
    <row r="138" spans="6:8" ht="37.5">
      <c r="F138" s="19" t="s">
        <v>175</v>
      </c>
      <c r="G138" s="19" t="s">
        <v>172</v>
      </c>
      <c r="H138" s="31" t="str">
        <f>"' || CHR(10) || '"</f>
        <v>' || CHR(10) || '</v>
      </c>
    </row>
    <row r="139" spans="6:8" ht="37.5">
      <c r="F139" s="19" t="s">
        <v>176</v>
      </c>
      <c r="G139" s="19" t="s">
        <v>172</v>
      </c>
      <c r="H139" s="31" t="str">
        <f>"' || CHR(13) || '"</f>
        <v>' || CHR(13) || '</v>
      </c>
    </row>
    <row r="140" spans="6:8">
      <c r="G140" s="9"/>
      <c r="H140" s="9"/>
    </row>
    <row r="141" spans="6:8">
      <c r="F141" s="2" t="s">
        <v>190</v>
      </c>
    </row>
    <row r="142" spans="6:8">
      <c r="F142" s="1" t="s">
        <v>64</v>
      </c>
    </row>
    <row r="144" spans="6:8">
      <c r="F144" s="2" t="s">
        <v>191</v>
      </c>
    </row>
    <row r="145" spans="6:7">
      <c r="F145" s="1" t="s">
        <v>65</v>
      </c>
    </row>
    <row r="146" spans="6:7">
      <c r="F146" s="1" t="s">
        <v>76</v>
      </c>
    </row>
    <row r="147" spans="6:7">
      <c r="F147" s="18" t="s">
        <v>200</v>
      </c>
      <c r="G147" s="18" t="s">
        <v>33</v>
      </c>
    </row>
    <row r="148" spans="6:7" ht="37.5">
      <c r="F148" s="19" t="s">
        <v>68</v>
      </c>
      <c r="G148" s="19" t="s">
        <v>198</v>
      </c>
    </row>
    <row r="149" spans="6:7" ht="93.75">
      <c r="F149" s="19" t="s">
        <v>69</v>
      </c>
      <c r="G149" s="19" t="s">
        <v>199</v>
      </c>
    </row>
    <row r="151" spans="6:7">
      <c r="F151" s="2" t="s">
        <v>192</v>
      </c>
    </row>
    <row r="152" spans="6:7">
      <c r="F152" s="1" t="s">
        <v>66</v>
      </c>
    </row>
    <row r="153" spans="6:7">
      <c r="F153" s="1" t="s">
        <v>76</v>
      </c>
    </row>
    <row r="154" spans="6:7">
      <c r="F154" s="18" t="s">
        <v>200</v>
      </c>
      <c r="G154" s="18" t="s">
        <v>33</v>
      </c>
    </row>
    <row r="155" spans="6:7" ht="37.5">
      <c r="F155" s="19" t="s">
        <v>68</v>
      </c>
      <c r="G155" s="19" t="s">
        <v>198</v>
      </c>
    </row>
    <row r="156" spans="6:7" ht="93.75">
      <c r="F156" s="19" t="s">
        <v>201</v>
      </c>
      <c r="G156" s="19" t="s">
        <v>199</v>
      </c>
    </row>
    <row r="158" spans="6:7">
      <c r="F158" s="2" t="s">
        <v>193</v>
      </c>
    </row>
    <row r="159" spans="6:7">
      <c r="F159" s="1" t="s">
        <v>67</v>
      </c>
    </row>
    <row r="160" spans="6:7">
      <c r="F160" s="18" t="s">
        <v>200</v>
      </c>
      <c r="G160" s="18" t="s">
        <v>33</v>
      </c>
    </row>
    <row r="161" spans="5:7" ht="37.5">
      <c r="F161" s="19" t="s">
        <v>68</v>
      </c>
      <c r="G161" s="19" t="s">
        <v>198</v>
      </c>
    </row>
    <row r="163" spans="5:7">
      <c r="F163" s="2" t="s">
        <v>194</v>
      </c>
    </row>
    <row r="164" spans="5:7">
      <c r="F164" s="1" t="s">
        <v>64</v>
      </c>
    </row>
    <row r="166" spans="5:7">
      <c r="E166" s="1" t="s">
        <v>50</v>
      </c>
    </row>
    <row r="167" spans="5:7">
      <c r="F167" s="1" t="s">
        <v>62</v>
      </c>
    </row>
    <row r="168" spans="5:7">
      <c r="F168" s="1" t="s">
        <v>61</v>
      </c>
    </row>
    <row r="169" spans="5:7">
      <c r="F169" s="1" t="s">
        <v>84</v>
      </c>
    </row>
    <row r="171" spans="5:7">
      <c r="E171" s="1" t="s">
        <v>53</v>
      </c>
    </row>
    <row r="172" spans="5:7">
      <c r="F172" s="1" t="s">
        <v>56</v>
      </c>
    </row>
    <row r="173" spans="5:7">
      <c r="F173" s="1" t="s">
        <v>57</v>
      </c>
    </row>
    <row r="174" spans="5:7">
      <c r="F174" s="1" t="s">
        <v>54</v>
      </c>
    </row>
    <row r="175" spans="5:7">
      <c r="F175" s="1" t="s">
        <v>55</v>
      </c>
    </row>
    <row r="176" spans="5:7">
      <c r="F176" s="1" t="s">
        <v>52</v>
      </c>
    </row>
    <row r="177" spans="3:6">
      <c r="F177" s="1" t="s">
        <v>63</v>
      </c>
    </row>
    <row r="179" spans="3:6" ht="19.5" thickBot="1">
      <c r="C179" s="4" t="s">
        <v>20</v>
      </c>
      <c r="D179" s="4"/>
      <c r="E179" s="5"/>
      <c r="F179" s="5"/>
    </row>
    <row r="180" spans="3:6" ht="19.5" thickTop="1">
      <c r="F180" s="1" t="s">
        <v>36</v>
      </c>
    </row>
    <row r="181" spans="3:6">
      <c r="F181" s="1" t="s">
        <v>37</v>
      </c>
    </row>
    <row r="183" spans="3:6">
      <c r="E183" s="1" t="s">
        <v>38</v>
      </c>
    </row>
    <row r="184" spans="3:6">
      <c r="F184" s="1" t="s">
        <v>211</v>
      </c>
    </row>
    <row r="186" spans="3:6">
      <c r="F186" s="1" t="s">
        <v>43</v>
      </c>
    </row>
    <row r="187" spans="3:6">
      <c r="F187" s="1" t="s">
        <v>44</v>
      </c>
    </row>
    <row r="189" spans="3:6">
      <c r="E189" s="1" t="s">
        <v>39</v>
      </c>
    </row>
    <row r="190" spans="3:6">
      <c r="F190" s="1" t="s">
        <v>212</v>
      </c>
    </row>
    <row r="192" spans="3:6">
      <c r="F192" s="1" t="s">
        <v>46</v>
      </c>
    </row>
    <row r="193" spans="1:6">
      <c r="F193" s="1" t="s">
        <v>83</v>
      </c>
    </row>
    <row r="195" spans="1:6" ht="19.5" thickBot="1">
      <c r="C195" s="4" t="s">
        <v>283</v>
      </c>
      <c r="D195" s="4"/>
      <c r="E195" s="5"/>
      <c r="F195" s="5"/>
    </row>
    <row r="196" spans="1:6" ht="19.5" thickTop="1">
      <c r="F196" s="1" t="s">
        <v>284</v>
      </c>
    </row>
    <row r="197" spans="1:6">
      <c r="F197" s="1" t="s">
        <v>286</v>
      </c>
    </row>
    <row r="198" spans="1:6">
      <c r="F198" s="1" t="s">
        <v>285</v>
      </c>
    </row>
    <row r="200" spans="1:6">
      <c r="A200" s="2" t="s">
        <v>97</v>
      </c>
      <c r="B200" s="2" t="s">
        <v>97</v>
      </c>
      <c r="C200" s="2" t="s">
        <v>97</v>
      </c>
      <c r="D200" s="2" t="s">
        <v>97</v>
      </c>
      <c r="E200" s="1" t="s">
        <v>97</v>
      </c>
    </row>
    <row r="218" spans="4:4">
      <c r="D218" s="1"/>
    </row>
    <row r="219" spans="4:4">
      <c r="D219" s="1"/>
    </row>
    <row r="220" spans="4:4">
      <c r="D220" s="1"/>
    </row>
    <row r="221" spans="4:4">
      <c r="D221" s="1"/>
    </row>
    <row r="222" spans="4:4">
      <c r="D222" s="1"/>
    </row>
    <row r="223" spans="4:4">
      <c r="D223" s="1"/>
    </row>
    <row r="224" spans="4:4">
      <c r="D224" s="1"/>
    </row>
    <row r="225" spans="4:4">
      <c r="D225" s="1"/>
    </row>
    <row r="226" spans="4:4">
      <c r="D226" s="1"/>
    </row>
  </sheetData>
  <phoneticPr fontId="1"/>
  <dataValidations count="1">
    <dataValidation type="list" allowBlank="1" showInputMessage="1" sqref="F66:M66">
      <formula1>_PRESET_DATATYPE_!$E$26:$E$64</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dimension ref="A1:E64"/>
  <sheetViews>
    <sheetView workbookViewId="0"/>
  </sheetViews>
  <sheetFormatPr defaultRowHeight="18.75"/>
  <cols>
    <col min="1" max="2" width="3.625" style="1" customWidth="1"/>
    <col min="3" max="3" width="18.125" style="1" bestFit="1" customWidth="1"/>
    <col min="4" max="5" width="18.125" style="1" customWidth="1"/>
    <col min="6" max="16384" width="9" style="1"/>
  </cols>
  <sheetData>
    <row r="1" spans="1:3">
      <c r="A1" s="1" t="s">
        <v>275</v>
      </c>
    </row>
    <row r="2" spans="1:3">
      <c r="C2" s="1" t="s">
        <v>269</v>
      </c>
    </row>
    <row r="3" spans="1:3">
      <c r="B3" s="1" t="s">
        <v>2</v>
      </c>
      <c r="C3" s="1" t="s">
        <v>276</v>
      </c>
    </row>
    <row r="4" spans="1:3">
      <c r="B4" s="1" t="s">
        <v>273</v>
      </c>
      <c r="C4" s="1" t="s">
        <v>277</v>
      </c>
    </row>
    <row r="5" spans="1:3">
      <c r="B5" s="1" t="s">
        <v>274</v>
      </c>
      <c r="C5" s="1" t="s">
        <v>278</v>
      </c>
    </row>
    <row r="19" spans="1:5">
      <c r="A19" s="1" t="s">
        <v>267</v>
      </c>
    </row>
    <row r="20" spans="1:5">
      <c r="B20" s="1" t="s">
        <v>271</v>
      </c>
    </row>
    <row r="21" spans="1:5">
      <c r="C21" s="35" t="s">
        <v>270</v>
      </c>
      <c r="D21" s="35" t="s">
        <v>268</v>
      </c>
      <c r="E21" s="35" t="s">
        <v>281</v>
      </c>
    </row>
    <row r="22" spans="1:5">
      <c r="C22" s="34"/>
      <c r="D22" s="34"/>
      <c r="E22" s="34"/>
    </row>
    <row r="24" spans="1:5">
      <c r="B24" s="1" t="s">
        <v>272</v>
      </c>
    </row>
    <row r="25" spans="1:5">
      <c r="C25" s="35" t="s">
        <v>270</v>
      </c>
      <c r="D25" s="35" t="s">
        <v>268</v>
      </c>
      <c r="E25" s="35" t="s">
        <v>282</v>
      </c>
    </row>
    <row r="26" spans="1:5">
      <c r="C26" s="34" t="s">
        <v>219</v>
      </c>
      <c r="D26" s="34" t="s">
        <v>219</v>
      </c>
      <c r="E26" s="34" t="s">
        <v>247</v>
      </c>
    </row>
    <row r="27" spans="1:5">
      <c r="C27" s="34" t="s">
        <v>221</v>
      </c>
      <c r="D27" s="34" t="s">
        <v>221</v>
      </c>
      <c r="E27" s="34" t="s">
        <v>248</v>
      </c>
    </row>
    <row r="28" spans="1:5">
      <c r="C28" s="34" t="s">
        <v>222</v>
      </c>
      <c r="D28" s="34" t="s">
        <v>222</v>
      </c>
      <c r="E28" s="34" t="s">
        <v>249</v>
      </c>
    </row>
    <row r="29" spans="1:5">
      <c r="C29" s="34" t="s">
        <v>223</v>
      </c>
      <c r="D29" s="34" t="s">
        <v>223</v>
      </c>
      <c r="E29" s="34" t="s">
        <v>250</v>
      </c>
    </row>
    <row r="30" spans="1:5">
      <c r="C30" s="34" t="s">
        <v>99</v>
      </c>
      <c r="D30" s="34" t="s">
        <v>99</v>
      </c>
      <c r="E30" s="34" t="s">
        <v>251</v>
      </c>
    </row>
    <row r="31" spans="1:5">
      <c r="C31" s="34" t="s">
        <v>0</v>
      </c>
      <c r="D31" s="34" t="s">
        <v>0</v>
      </c>
      <c r="E31" s="34" t="s">
        <v>252</v>
      </c>
    </row>
    <row r="32" spans="1:5">
      <c r="C32" s="34" t="s">
        <v>224</v>
      </c>
      <c r="D32" s="34" t="s">
        <v>224</v>
      </c>
      <c r="E32" s="34" t="s">
        <v>253</v>
      </c>
    </row>
    <row r="33" spans="3:5">
      <c r="C33" s="34" t="s">
        <v>225</v>
      </c>
      <c r="D33" s="34" t="s">
        <v>225</v>
      </c>
      <c r="E33" s="34" t="s">
        <v>254</v>
      </c>
    </row>
    <row r="34" spans="3:5">
      <c r="C34" s="34" t="s">
        <v>226</v>
      </c>
      <c r="D34" s="34" t="s">
        <v>226</v>
      </c>
      <c r="E34" s="34" t="s">
        <v>255</v>
      </c>
    </row>
    <row r="35" spans="3:5">
      <c r="C35" s="34" t="s">
        <v>230</v>
      </c>
      <c r="D35" s="34" t="s">
        <v>227</v>
      </c>
      <c r="E35" s="34" t="s">
        <v>256</v>
      </c>
    </row>
    <row r="36" spans="3:5">
      <c r="C36" s="34" t="s">
        <v>242</v>
      </c>
      <c r="D36" s="34" t="s">
        <v>228</v>
      </c>
      <c r="E36" s="34" t="s">
        <v>257</v>
      </c>
    </row>
    <row r="37" spans="3:5">
      <c r="C37" s="34" t="s">
        <v>243</v>
      </c>
      <c r="D37" s="34" t="s">
        <v>230</v>
      </c>
      <c r="E37" s="34" t="s">
        <v>258</v>
      </c>
    </row>
    <row r="38" spans="3:5">
      <c r="C38" s="34" t="s">
        <v>244</v>
      </c>
      <c r="D38" s="34" t="s">
        <v>231</v>
      </c>
      <c r="E38" s="34" t="s">
        <v>259</v>
      </c>
    </row>
    <row r="39" spans="3:5">
      <c r="C39" s="34" t="s">
        <v>245</v>
      </c>
      <c r="D39" s="34" t="s">
        <v>220</v>
      </c>
      <c r="E39" s="34" t="s">
        <v>260</v>
      </c>
    </row>
    <row r="40" spans="3:5">
      <c r="C40" s="34" t="s">
        <v>246</v>
      </c>
      <c r="D40" s="34" t="s">
        <v>242</v>
      </c>
      <c r="E40" s="34" t="s">
        <v>261</v>
      </c>
    </row>
    <row r="41" spans="3:5">
      <c r="D41" s="34" t="s">
        <v>243</v>
      </c>
      <c r="E41" s="34" t="s">
        <v>262</v>
      </c>
    </row>
    <row r="42" spans="3:5">
      <c r="D42" s="34" t="s">
        <v>244</v>
      </c>
      <c r="E42" s="34" t="s">
        <v>263</v>
      </c>
    </row>
    <row r="43" spans="3:5">
      <c r="D43" s="34" t="s">
        <v>245</v>
      </c>
      <c r="E43" s="34" t="s">
        <v>264</v>
      </c>
    </row>
    <row r="44" spans="3:5">
      <c r="D44" s="34" t="s">
        <v>246</v>
      </c>
      <c r="E44" s="34" t="s">
        <v>265</v>
      </c>
    </row>
    <row r="45" spans="3:5">
      <c r="E45" s="34" t="s">
        <v>266</v>
      </c>
    </row>
    <row r="46" spans="3:5">
      <c r="E46" s="34" t="s">
        <v>229</v>
      </c>
    </row>
    <row r="47" spans="3:5">
      <c r="E47" s="34" t="s">
        <v>230</v>
      </c>
    </row>
    <row r="48" spans="3:5">
      <c r="E48" s="34" t="s">
        <v>231</v>
      </c>
    </row>
    <row r="49" spans="5:5">
      <c r="E49" s="34" t="s">
        <v>220</v>
      </c>
    </row>
    <row r="50" spans="5:5">
      <c r="E50" s="34" t="s">
        <v>232</v>
      </c>
    </row>
    <row r="51" spans="5:5">
      <c r="E51" s="34" t="s">
        <v>233</v>
      </c>
    </row>
    <row r="52" spans="5:5">
      <c r="E52" s="34" t="s">
        <v>234</v>
      </c>
    </row>
    <row r="53" spans="5:5">
      <c r="E53" s="34" t="s">
        <v>235</v>
      </c>
    </row>
    <row r="54" spans="5:5">
      <c r="E54" s="34" t="s">
        <v>236</v>
      </c>
    </row>
    <row r="55" spans="5:5">
      <c r="E55" s="34" t="s">
        <v>237</v>
      </c>
    </row>
    <row r="56" spans="5:5">
      <c r="E56" s="34" t="s">
        <v>238</v>
      </c>
    </row>
    <row r="57" spans="5:5">
      <c r="E57" s="34" t="s">
        <v>239</v>
      </c>
    </row>
    <row r="58" spans="5:5">
      <c r="E58" s="34" t="s">
        <v>240</v>
      </c>
    </row>
    <row r="59" spans="5:5">
      <c r="E59" s="34" t="s">
        <v>241</v>
      </c>
    </row>
    <row r="60" spans="5:5">
      <c r="E60" s="34" t="s">
        <v>242</v>
      </c>
    </row>
    <row r="61" spans="5:5">
      <c r="E61" s="34" t="s">
        <v>243</v>
      </c>
    </row>
    <row r="62" spans="5:5">
      <c r="E62" s="34" t="s">
        <v>244</v>
      </c>
    </row>
    <row r="63" spans="5:5">
      <c r="E63" s="34" t="s">
        <v>245</v>
      </c>
    </row>
    <row r="64" spans="5:5">
      <c r="E64" s="34" t="s">
        <v>246</v>
      </c>
    </row>
  </sheetData>
  <phoneticPr fontId="1"/>
  <dataValidations count="3">
    <dataValidation type="list" allowBlank="1" showInputMessage="1" sqref="C22">
      <formula1>_PRESET_DATATYPE_!$C$26:$C$40</formula1>
    </dataValidation>
    <dataValidation type="list" allowBlank="1" showInputMessage="1" sqref="D22">
      <formula1>_PRESET_DATATYPE_!$D$26:$D$44</formula1>
    </dataValidation>
    <dataValidation type="list" allowBlank="1" showInputMessage="1" sqref="E22">
      <formula1>_PRESET_DATATYPE_!$E$26:$E$64</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マニュアル</vt:lpstr>
      <vt:lpstr>_PRESET_DATATYPE_</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2018-07-22T15:06:48Z</dcterms:created>
  <dcterms:modified xsi:type="dcterms:W3CDTF">2018-07-23T14:54:11Z</dcterms:modified>
</cp:coreProperties>
</file>